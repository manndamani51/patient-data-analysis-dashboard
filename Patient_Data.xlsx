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4.xml" ContentType="application/vnd.openxmlformats-officedocument.spreadsheetml.tabl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slicers/slicer5.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slicers/slicer6.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tables/table6.xml" ContentType="application/vnd.openxmlformats-officedocument.spreadsheetml.table+xml"/>
  <Override PartName="/xl/slicers/slicer7.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slicers/slicer8.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ables/table7.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slicers/slicer9.xml" ContentType="application/vnd.ms-excel.slicer+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0.xml" ContentType="application/vnd.openxmlformats-officedocument.drawing+xml"/>
  <Override PartName="/xl/slicers/slicer10.xml" ContentType="application/vnd.ms-excel.slicer+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tables/table9.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slicers/slicer11.xml" ContentType="application/vnd.ms-excel.slicer+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12.xml" ContentType="application/vnd.openxmlformats-officedocument.drawing+xml"/>
  <Override PartName="/xl/slicers/slicer12.xml" ContentType="application/vnd.ms-excel.slicer+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tables/table12.xml" ContentType="application/vnd.openxmlformats-officedocument.spreadsheetml.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3.xml" ContentType="application/vnd.openxmlformats-officedocument.drawing+xml"/>
  <Override PartName="/xl/tables/table13.xml" ContentType="application/vnd.openxmlformats-officedocument.spreadsheetml.table+xml"/>
  <Override PartName="/xl/slicers/slicer13.xml" ContentType="application/vnd.ms-excel.slicer+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14.xml" ContentType="application/vnd.openxmlformats-officedocument.drawing+xml"/>
  <Override PartName="/xl/slicers/slicer14.xml" ContentType="application/vnd.ms-excel.slicer+xml"/>
  <Override PartName="/xl/charts/chart48.xml" ContentType="application/vnd.openxmlformats-officedocument.drawingml.chart+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tables/table14.xml" ContentType="application/vnd.openxmlformats-officedocument.spreadsheetml.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5.xml" ContentType="application/vnd.openxmlformats-officedocument.drawing+xml"/>
  <Override PartName="/xl/tables/table15.xml" ContentType="application/vnd.openxmlformats-officedocument.spreadsheetml.table+xml"/>
  <Override PartName="/xl/slicers/slicer15.xml" ContentType="application/vnd.ms-excel.slicer+xml"/>
  <Override PartName="/xl/charts/chart51.xml" ContentType="application/vnd.openxmlformats-officedocument.drawingml.chart+xml"/>
  <Override PartName="/xl/charts/style50.xml" ContentType="application/vnd.ms-office.chartstyle+xml"/>
  <Override PartName="/xl/charts/colors50.xml" ContentType="application/vnd.ms-office.chartcolorstyle+xml"/>
  <Override PartName="/xl/charts/chart52.xml" ContentType="application/vnd.openxmlformats-officedocument.drawingml.chart+xml"/>
  <Override PartName="/xl/charts/style51.xml" ContentType="application/vnd.ms-office.chartstyle+xml"/>
  <Override PartName="/xl/charts/colors51.xml" ContentType="application/vnd.ms-office.chartcolorstyle+xml"/>
  <Override PartName="/xl/charts/chart53.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16.xml" ContentType="application/vnd.openxmlformats-officedocument.drawing+xml"/>
  <Override PartName="/xl/slicers/slicer16.xml" ContentType="application/vnd.ms-excel.slicer+xml"/>
  <Override PartName="/xl/charts/chart54.xml" ContentType="application/vnd.openxmlformats-officedocument.drawingml.chart+xml"/>
  <Override PartName="/xl/charts/chart55.xml" ContentType="application/vnd.openxmlformats-officedocument.drawingml.chart+xml"/>
  <Override PartName="/xl/charts/style53.xml" ContentType="application/vnd.ms-office.chartstyle+xml"/>
  <Override PartName="/xl/charts/colors53.xml" ContentType="application/vnd.ms-office.chartcolorstyle+xml"/>
  <Override PartName="/xl/charts/chart56.xml" ContentType="application/vnd.openxmlformats-officedocument.drawingml.chart+xml"/>
  <Override PartName="/xl/charts/style54.xml" ContentType="application/vnd.ms-office.chartstyle+xml"/>
  <Override PartName="/xl/charts/colors5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ed7296dc57756edb/Desktop/Patient Data Analysis Dashboard/"/>
    </mc:Choice>
  </mc:AlternateContent>
  <xr:revisionPtr revIDLastSave="3" documentId="13_ncr:1_{72948A2F-4B54-4923-A1C0-E92F7DE08740}" xr6:coauthVersionLast="47" xr6:coauthVersionMax="47" xr10:uidLastSave="{2E5463BA-F588-4AF3-95C8-638EE7AE7CEA}"/>
  <bookViews>
    <workbookView xWindow="-108" yWindow="-108" windowWidth="23256" windowHeight="13176" tabRatio="739" activeTab="3" xr2:uid="{00000000-000D-0000-FFFF-FFFF00000000}"/>
  </bookViews>
  <sheets>
    <sheet name="fetch" sheetId="1" r:id="rId1"/>
    <sheet name="master" sheetId="5" r:id="rId2"/>
    <sheet name="pivot" sheetId="31" r:id="rId3"/>
    <sheet name="Main_dashboard" sheetId="6" r:id="rId4"/>
    <sheet name="Sonography_pivot" sheetId="15" state="hidden" r:id="rId5"/>
    <sheet name="sonography" sheetId="14" state="hidden" r:id="rId6"/>
    <sheet name="sonography_dashboard" sheetId="16" r:id="rId7"/>
    <sheet name="Xray" sheetId="17" state="hidden" r:id="rId8"/>
    <sheet name="Xray_pivot" sheetId="18" state="hidden" r:id="rId9"/>
    <sheet name="Xray_dashboard" sheetId="19" r:id="rId10"/>
    <sheet name="Dental" sheetId="20" r:id="rId11"/>
    <sheet name="Dental_pivot" sheetId="21" r:id="rId12"/>
    <sheet name="Dental_dashboard" sheetId="22" r:id="rId13"/>
    <sheet name="bodycheckup" sheetId="8" state="hidden" r:id="rId14"/>
    <sheet name="bodycheckup_pivot" sheetId="9" state="hidden" r:id="rId15"/>
    <sheet name="bodycheckup_dashboard" sheetId="10" r:id="rId16"/>
    <sheet name="mamography" sheetId="11" state="hidden" r:id="rId17"/>
    <sheet name="mamography_pivot" sheetId="12" state="hidden" r:id="rId18"/>
    <sheet name="mamography_dashboard" sheetId="13" r:id="rId19"/>
    <sheet name="bodycheckup_sonography" sheetId="24" state="hidden" r:id="rId20"/>
    <sheet name="body_sono_pivot" sheetId="26" state="hidden" r:id="rId21"/>
    <sheet name="Bodycheckup_Sonography_dashboar" sheetId="27" r:id="rId22"/>
    <sheet name="bodycheckup_xray" sheetId="25" r:id="rId23"/>
    <sheet name="bodycheckup_xray_pivot" sheetId="29" r:id="rId24"/>
    <sheet name="Bodycheckup_Xray_dashboard" sheetId="30" r:id="rId25"/>
  </sheets>
  <definedNames>
    <definedName name="Slicer_Month1">#N/A</definedName>
    <definedName name="Slicer_Month2">#N/A</definedName>
    <definedName name="Slicer_Month3">#N/A</definedName>
    <definedName name="Slicer_Month4">#N/A</definedName>
    <definedName name="Slicer_Month5">#N/A</definedName>
    <definedName name="Slicer_Month6">#N/A</definedName>
    <definedName name="Slicer_Month7">#N/A</definedName>
    <definedName name="Slicer_Month8">#N/A</definedName>
    <definedName name="Slicer_Service1">#N/A</definedName>
    <definedName name="Slicer_Year">#N/A</definedName>
    <definedName name="Slicer_Year10">#N/A</definedName>
    <definedName name="Slicer_year11">#N/A</definedName>
    <definedName name="Slicer_Year12">#N/A</definedName>
    <definedName name="Slicer_Year13">#N/A</definedName>
    <definedName name="Slicer_year14">#N/A</definedName>
    <definedName name="Slicer_Year15">#N/A</definedName>
    <definedName name="Slicer_Year2">#N/A</definedName>
    <definedName name="Slicer_year3">#N/A</definedName>
    <definedName name="Slicer_year4">#N/A</definedName>
    <definedName name="Slicer_Year5">#N/A</definedName>
    <definedName name="Slicer_year6">#N/A</definedName>
    <definedName name="Slicer_year7">#N/A</definedName>
    <definedName name="Slicer_Year8">#N/A</definedName>
    <definedName name="Slicer_year9">#N/A</definedName>
  </definedNames>
  <calcPr calcId="191029"/>
  <pivotCaches>
    <pivotCache cacheId="0" r:id="rId26"/>
    <pivotCache cacheId="1" r:id="rId27"/>
    <pivotCache cacheId="2" r:id="rId28"/>
    <pivotCache cacheId="3" r:id="rId29"/>
    <pivotCache cacheId="4" r:id="rId30"/>
    <pivotCache cacheId="5" r:id="rId31"/>
    <pivotCache cacheId="6" r:id="rId32"/>
    <pivotCache cacheId="7" r:id="rId33"/>
    <pivotCache cacheId="8" r:id="rId34"/>
    <pivotCache cacheId="9" r:id="rId35"/>
    <pivotCache cacheId="10" r:id="rId36"/>
    <pivotCache cacheId="11" r:id="rId37"/>
    <pivotCache cacheId="12" r:id="rId38"/>
    <pivotCache cacheId="13" r:id="rId39"/>
    <pivotCache cacheId="14" r:id="rId40"/>
  </pivotCaches>
  <extLst>
    <ext xmlns:x14="http://schemas.microsoft.com/office/spreadsheetml/2009/9/main" uri="{BBE1A952-AA13-448e-AADC-164F8A28A991}">
      <x14:slicerCaches>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9" i="20" l="1"/>
  <c r="E45" i="20"/>
  <c r="E44" i="20"/>
  <c r="E38" i="20"/>
  <c r="E33" i="20"/>
  <c r="E28" i="20"/>
  <c r="E26" i="20"/>
  <c r="E24" i="20"/>
  <c r="G24" i="20" s="1"/>
  <c r="E16" i="20"/>
  <c r="E14" i="20"/>
  <c r="E10" i="20"/>
  <c r="G10" i="20" s="1"/>
  <c r="E8" i="20"/>
  <c r="G8" i="20" s="1"/>
  <c r="E7" i="20"/>
  <c r="G7" i="20" s="1"/>
  <c r="E5" i="20"/>
  <c r="G5" i="20" s="1"/>
  <c r="E4" i="20"/>
  <c r="G4" i="20" s="1"/>
  <c r="E2" i="20"/>
  <c r="G2" i="20" s="1"/>
  <c r="G3" i="20"/>
  <c r="G6" i="20"/>
  <c r="G9" i="20"/>
  <c r="G11" i="20"/>
  <c r="G12" i="20"/>
  <c r="G13" i="20"/>
  <c r="G14" i="20"/>
  <c r="G15" i="20"/>
  <c r="G16" i="20"/>
  <c r="G17" i="20"/>
  <c r="G18" i="20"/>
  <c r="G19" i="20"/>
  <c r="G20" i="20"/>
  <c r="G21" i="20"/>
  <c r="G22" i="20"/>
  <c r="G23"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F60" i="20"/>
  <c r="F57" i="20"/>
  <c r="F56" i="20"/>
  <c r="F55" i="20"/>
  <c r="F54" i="20"/>
  <c r="F53" i="20"/>
  <c r="F52" i="20"/>
  <c r="F50" i="20"/>
  <c r="F48" i="20"/>
  <c r="F45" i="20"/>
  <c r="F44" i="20"/>
  <c r="F43" i="20"/>
  <c r="F42" i="20"/>
  <c r="F40" i="20"/>
  <c r="F38" i="20"/>
  <c r="F36" i="20"/>
  <c r="F34" i="20"/>
  <c r="F33" i="20"/>
  <c r="F31" i="20"/>
  <c r="F28" i="20"/>
  <c r="F26" i="20"/>
  <c r="F24" i="20"/>
  <c r="F21" i="20"/>
  <c r="F19" i="20"/>
  <c r="F18" i="20"/>
  <c r="F17" i="20"/>
  <c r="F16" i="20"/>
  <c r="F14" i="20"/>
  <c r="F12" i="20"/>
  <c r="F9" i="20"/>
  <c r="F8" i="20"/>
  <c r="F7" i="20"/>
  <c r="F6" i="20"/>
  <c r="F4" i="20"/>
  <c r="F2" i="20"/>
  <c r="D60" i="25"/>
  <c r="D50" i="25"/>
  <c r="D47" i="25"/>
  <c r="D45" i="25"/>
  <c r="D43" i="25"/>
  <c r="D40" i="25"/>
  <c r="D38" i="25"/>
  <c r="D37" i="25"/>
  <c r="D36" i="25"/>
  <c r="D34" i="25"/>
  <c r="D33" i="25"/>
  <c r="D31" i="25"/>
  <c r="D28" i="25"/>
  <c r="D27" i="25"/>
  <c r="D26" i="25"/>
  <c r="D25" i="25"/>
  <c r="D24" i="25"/>
  <c r="D21" i="25"/>
  <c r="D20" i="25"/>
  <c r="D16" i="25"/>
  <c r="D13" i="25"/>
  <c r="D11" i="25"/>
  <c r="D10" i="25"/>
  <c r="D9" i="25"/>
  <c r="D8" i="25"/>
  <c r="D7" i="25"/>
  <c r="D6" i="25"/>
  <c r="D5" i="25"/>
  <c r="D4" i="25"/>
  <c r="D3" i="25"/>
  <c r="D2" i="25"/>
  <c r="D61" i="24"/>
  <c r="D60" i="24"/>
  <c r="D59" i="24"/>
  <c r="D58" i="24"/>
  <c r="D57" i="24"/>
  <c r="D56" i="24"/>
  <c r="D55" i="24"/>
  <c r="D54" i="24"/>
  <c r="D53" i="24"/>
  <c r="D52" i="24"/>
  <c r="D50" i="24"/>
  <c r="D48" i="24"/>
  <c r="D47" i="24"/>
  <c r="D45" i="24"/>
  <c r="D44" i="24"/>
  <c r="D43" i="24"/>
  <c r="D42" i="24"/>
  <c r="D41" i="24"/>
  <c r="D40" i="24"/>
  <c r="D38" i="24"/>
  <c r="D37" i="24"/>
  <c r="D36" i="24"/>
  <c r="D34" i="24"/>
  <c r="D33" i="24"/>
  <c r="D32" i="24"/>
  <c r="D31" i="24"/>
  <c r="D30" i="24"/>
  <c r="D29" i="24"/>
  <c r="D28" i="24"/>
  <c r="D27" i="24"/>
  <c r="D26" i="24"/>
  <c r="D25" i="24"/>
  <c r="D24" i="24"/>
  <c r="D23" i="24"/>
  <c r="D21" i="24"/>
  <c r="D20" i="24"/>
  <c r="D19" i="24"/>
  <c r="D18" i="24"/>
  <c r="D17" i="24"/>
  <c r="D16" i="24"/>
  <c r="D14" i="24"/>
  <c r="D12" i="24"/>
  <c r="D11" i="24"/>
  <c r="D10" i="24"/>
  <c r="D9" i="24"/>
  <c r="D8" i="24"/>
  <c r="D7" i="24"/>
  <c r="D6" i="24"/>
  <c r="D5" i="24"/>
  <c r="D4" i="24"/>
  <c r="D3" i="24"/>
  <c r="D2" i="24"/>
  <c r="E49" i="8"/>
  <c r="G49" i="8" s="1"/>
  <c r="E38" i="8"/>
  <c r="E34" i="8"/>
  <c r="E28" i="8"/>
  <c r="E26" i="8"/>
  <c r="E25" i="8"/>
  <c r="E21" i="8"/>
  <c r="G21" i="8" s="1"/>
  <c r="E16" i="8"/>
  <c r="E12" i="8"/>
  <c r="G12" i="8" s="1"/>
  <c r="E8" i="8"/>
  <c r="G8" i="8" s="1"/>
  <c r="E7" i="8"/>
  <c r="G7" i="8" s="1"/>
  <c r="E5" i="8"/>
  <c r="G5" i="8" s="1"/>
  <c r="E4" i="8"/>
  <c r="E3" i="8"/>
  <c r="G2" i="8"/>
  <c r="G3" i="8"/>
  <c r="G4" i="8"/>
  <c r="G6" i="8"/>
  <c r="G9" i="8"/>
  <c r="G10" i="8"/>
  <c r="G11" i="8"/>
  <c r="G13" i="8"/>
  <c r="G14" i="8"/>
  <c r="G15" i="8"/>
  <c r="G16" i="8"/>
  <c r="G17" i="8"/>
  <c r="G18" i="8"/>
  <c r="G19" i="8"/>
  <c r="G20" i="8"/>
  <c r="G22" i="8"/>
  <c r="G23" i="8"/>
  <c r="G24" i="8"/>
  <c r="G25" i="8"/>
  <c r="G26" i="8"/>
  <c r="G27" i="8"/>
  <c r="G28" i="8"/>
  <c r="G29" i="8"/>
  <c r="G30" i="8"/>
  <c r="G31" i="8"/>
  <c r="G32" i="8"/>
  <c r="G33" i="8"/>
  <c r="G34" i="8"/>
  <c r="G35" i="8"/>
  <c r="G36" i="8"/>
  <c r="G37" i="8"/>
  <c r="G38" i="8"/>
  <c r="G39" i="8"/>
  <c r="G40" i="8"/>
  <c r="G41" i="8"/>
  <c r="G42" i="8"/>
  <c r="G43" i="8"/>
  <c r="G44" i="8"/>
  <c r="G45" i="8"/>
  <c r="G46" i="8"/>
  <c r="G47" i="8"/>
  <c r="G48" i="8"/>
  <c r="G50" i="8"/>
  <c r="G51" i="8"/>
  <c r="G52" i="8"/>
  <c r="G53" i="8"/>
  <c r="G54" i="8"/>
  <c r="G55" i="8"/>
  <c r="G56" i="8"/>
  <c r="G57" i="8"/>
  <c r="G58" i="8"/>
  <c r="G59" i="8"/>
  <c r="G60" i="8"/>
  <c r="G61" i="8"/>
  <c r="F61" i="8"/>
  <c r="F60" i="8"/>
  <c r="F59" i="8"/>
  <c r="F58" i="8"/>
  <c r="F57" i="8"/>
  <c r="F56" i="8"/>
  <c r="F55" i="8"/>
  <c r="F54" i="8"/>
  <c r="F53" i="8"/>
  <c r="F52" i="8"/>
  <c r="F51" i="8"/>
  <c r="F50" i="8"/>
  <c r="F48" i="8"/>
  <c r="F47" i="8"/>
  <c r="F46" i="8"/>
  <c r="F45" i="8"/>
  <c r="F44" i="8"/>
  <c r="F43" i="8"/>
  <c r="F42" i="8"/>
  <c r="F41" i="8"/>
  <c r="F40" i="8"/>
  <c r="F39" i="8"/>
  <c r="F38" i="8"/>
  <c r="F37" i="8"/>
  <c r="F36" i="8"/>
  <c r="F33" i="8"/>
  <c r="F30" i="8"/>
  <c r="F28" i="8"/>
  <c r="F27" i="8"/>
  <c r="F26" i="8"/>
  <c r="F25" i="8"/>
  <c r="F24" i="8"/>
  <c r="F18" i="8"/>
  <c r="F13" i="8"/>
  <c r="E61" i="14"/>
  <c r="E60" i="14"/>
  <c r="E59" i="14"/>
  <c r="E58" i="14"/>
  <c r="E57" i="14"/>
  <c r="E56" i="14"/>
  <c r="E55" i="14"/>
  <c r="E54" i="14"/>
  <c r="E53" i="14"/>
  <c r="E52" i="14"/>
  <c r="E50" i="14"/>
  <c r="E48" i="14"/>
  <c r="E47" i="14"/>
  <c r="E45" i="14"/>
  <c r="E44" i="14"/>
  <c r="E43" i="14"/>
  <c r="E42" i="14"/>
  <c r="E41" i="14"/>
  <c r="E40" i="14"/>
  <c r="E38" i="14"/>
  <c r="E37" i="14"/>
  <c r="E36" i="14"/>
  <c r="E34" i="14"/>
  <c r="E33" i="14"/>
  <c r="E32" i="14"/>
  <c r="E31" i="14"/>
  <c r="E30" i="14"/>
  <c r="E29" i="14"/>
  <c r="E28" i="14"/>
  <c r="E27" i="14"/>
  <c r="E26" i="14"/>
  <c r="E25" i="14"/>
  <c r="E24" i="14"/>
  <c r="E23" i="14"/>
  <c r="E21" i="14"/>
  <c r="E20" i="14"/>
  <c r="E19" i="14"/>
  <c r="E18" i="14"/>
  <c r="E17" i="14"/>
  <c r="E16" i="14"/>
  <c r="E14" i="14"/>
  <c r="E12" i="14"/>
  <c r="E11" i="14"/>
  <c r="E10" i="14"/>
  <c r="E9" i="14"/>
  <c r="E8" i="14"/>
  <c r="E7" i="14"/>
  <c r="E6" i="14"/>
  <c r="E5" i="14"/>
  <c r="E4" i="14"/>
  <c r="E3" i="14"/>
  <c r="E2" i="14"/>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2" i="17"/>
  <c r="E60" i="17"/>
  <c r="E50" i="17"/>
  <c r="E47" i="17"/>
  <c r="E45" i="17"/>
  <c r="E43" i="17"/>
  <c r="E40" i="17"/>
  <c r="E38" i="17"/>
  <c r="E37" i="17"/>
  <c r="E36" i="17"/>
  <c r="E34" i="17"/>
  <c r="E33" i="17"/>
  <c r="E31" i="17"/>
  <c r="E28" i="17"/>
  <c r="E27" i="17"/>
  <c r="E26" i="17"/>
  <c r="E25" i="17"/>
  <c r="E24" i="17"/>
  <c r="E21" i="17"/>
  <c r="E20" i="17"/>
  <c r="E16" i="17"/>
  <c r="E13" i="17"/>
  <c r="E11" i="17"/>
  <c r="E10" i="17"/>
  <c r="E9" i="17"/>
  <c r="E8" i="17"/>
  <c r="E7" i="17"/>
  <c r="E6" i="17"/>
  <c r="E5" i="17"/>
  <c r="E4" i="17"/>
  <c r="E3" i="17"/>
  <c r="E2" i="17"/>
  <c r="G61" i="14" l="1"/>
  <c r="G60" i="14"/>
  <c r="G59" i="14"/>
  <c r="G58" i="14"/>
  <c r="G57" i="14"/>
  <c r="G56" i="14"/>
  <c r="G55" i="14"/>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G12" i="14"/>
  <c r="G11" i="14"/>
  <c r="G10" i="14"/>
  <c r="G9" i="14"/>
  <c r="G8" i="14"/>
  <c r="G7" i="14"/>
  <c r="G6" i="14"/>
  <c r="G5" i="14"/>
  <c r="G4" i="14"/>
  <c r="G3" i="14"/>
  <c r="G2" i="14"/>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259" i="5"/>
  <c r="E256" i="5"/>
  <c r="E244" i="5"/>
  <c r="E229" i="5"/>
  <c r="E225" i="5"/>
  <c r="E224" i="5"/>
  <c r="E218" i="5"/>
  <c r="E213" i="5"/>
  <c r="E208" i="5"/>
  <c r="E206" i="5"/>
  <c r="E204" i="5"/>
  <c r="E196" i="5"/>
  <c r="E194" i="5"/>
  <c r="E190" i="5"/>
  <c r="E188" i="5"/>
  <c r="E187" i="5"/>
  <c r="E185" i="5"/>
  <c r="E184" i="5"/>
  <c r="E182" i="5"/>
  <c r="E180" i="5"/>
  <c r="E170" i="5"/>
  <c r="E167" i="5"/>
  <c r="E165" i="5"/>
  <c r="E163" i="5"/>
  <c r="E160" i="5"/>
  <c r="E158" i="5"/>
  <c r="E157" i="5"/>
  <c r="E156" i="5"/>
  <c r="E154" i="5"/>
  <c r="E153" i="5"/>
  <c r="E151" i="5"/>
  <c r="E148" i="5"/>
  <c r="E147" i="5"/>
  <c r="E146" i="5"/>
  <c r="E145" i="5"/>
  <c r="E144" i="5"/>
  <c r="E141" i="5"/>
  <c r="E140" i="5"/>
  <c r="E136" i="5"/>
  <c r="E133" i="5"/>
  <c r="E131" i="5"/>
  <c r="E130" i="5"/>
  <c r="E129" i="5"/>
  <c r="E128" i="5"/>
  <c r="E127" i="5"/>
  <c r="E126" i="5"/>
  <c r="E125" i="5"/>
  <c r="E124" i="5"/>
  <c r="E123" i="5"/>
  <c r="E122" i="5"/>
  <c r="E121" i="5"/>
  <c r="E120" i="5"/>
  <c r="E119" i="5"/>
  <c r="E118" i="5"/>
  <c r="E117" i="5"/>
  <c r="E116" i="5"/>
  <c r="E115" i="5"/>
  <c r="E114" i="5"/>
  <c r="E113" i="5"/>
  <c r="E112" i="5"/>
  <c r="E110" i="5"/>
  <c r="E108" i="5"/>
  <c r="E107" i="5"/>
  <c r="E105" i="5"/>
  <c r="E104" i="5"/>
  <c r="E103" i="5"/>
  <c r="E102" i="5"/>
  <c r="E101" i="5"/>
  <c r="E100" i="5"/>
  <c r="E98" i="5"/>
  <c r="E97" i="5"/>
  <c r="E96" i="5"/>
  <c r="E94" i="5"/>
  <c r="E93" i="5"/>
  <c r="E92" i="5"/>
  <c r="E91" i="5"/>
  <c r="E90" i="5"/>
  <c r="E89" i="5"/>
  <c r="E88" i="5"/>
  <c r="E87" i="5"/>
  <c r="E86" i="5"/>
  <c r="E85" i="5"/>
  <c r="E84" i="5"/>
  <c r="E83" i="5"/>
  <c r="E81" i="5"/>
  <c r="E80" i="5"/>
  <c r="E79" i="5"/>
  <c r="E78" i="5"/>
  <c r="E77" i="5"/>
  <c r="E76" i="5"/>
  <c r="E74" i="5"/>
  <c r="E72" i="5"/>
  <c r="E71" i="5"/>
  <c r="E70" i="5"/>
  <c r="E69" i="5"/>
  <c r="E68" i="5"/>
  <c r="E67" i="5"/>
  <c r="E66" i="5"/>
  <c r="E65" i="5"/>
  <c r="E64" i="5"/>
  <c r="E63" i="5"/>
  <c r="E62" i="5"/>
  <c r="E49" i="5"/>
  <c r="E38" i="5"/>
  <c r="E34" i="5"/>
  <c r="E28" i="5"/>
  <c r="E26" i="5"/>
  <c r="E25" i="5"/>
  <c r="E21" i="5"/>
  <c r="E16" i="5"/>
  <c r="E12" i="5"/>
  <c r="E8" i="5"/>
  <c r="E7" i="5"/>
  <c r="E5" i="5"/>
  <c r="E4" i="5"/>
  <c r="E3" i="5"/>
  <c r="I49" i="1"/>
  <c r="H49" i="1"/>
  <c r="F49" i="1"/>
  <c r="E49" i="1"/>
  <c r="D49" i="1"/>
  <c r="B49" i="1"/>
  <c r="J48" i="1"/>
  <c r="C48" i="1"/>
  <c r="J47" i="1"/>
  <c r="G47" i="1"/>
  <c r="G49" i="1" s="1"/>
  <c r="C47" i="1"/>
  <c r="J46" i="1"/>
  <c r="C46" i="1"/>
  <c r="J45" i="1"/>
  <c r="C45" i="1"/>
  <c r="J44" i="1"/>
  <c r="C44" i="1"/>
  <c r="J43" i="1"/>
  <c r="C43" i="1"/>
  <c r="J42" i="1"/>
  <c r="C42" i="1"/>
  <c r="J41" i="1"/>
  <c r="C41" i="1"/>
  <c r="J40" i="1"/>
  <c r="C40" i="1"/>
  <c r="J39" i="1"/>
  <c r="C39" i="1"/>
  <c r="J38" i="1"/>
  <c r="J37" i="1"/>
  <c r="J49" i="1" s="1"/>
  <c r="G37" i="1"/>
  <c r="C37" i="1"/>
  <c r="C49" i="1" s="1"/>
  <c r="U31" i="1"/>
  <c r="T31" i="1"/>
  <c r="Q31" i="1"/>
  <c r="P31" i="1"/>
  <c r="V30" i="1"/>
  <c r="R30" i="1"/>
  <c r="N30" i="1"/>
  <c r="V29" i="1"/>
  <c r="O29" i="1"/>
  <c r="V28" i="1"/>
  <c r="S28" i="1"/>
  <c r="O28" i="1"/>
  <c r="V27" i="1"/>
  <c r="V26" i="1"/>
  <c r="S26" i="1"/>
  <c r="R26" i="1"/>
  <c r="O26" i="1"/>
  <c r="V25" i="1"/>
  <c r="R25" i="1"/>
  <c r="O25" i="1"/>
  <c r="V24" i="1"/>
  <c r="S24" i="1"/>
  <c r="S31" i="1" s="1"/>
  <c r="O24" i="1"/>
  <c r="V23" i="1"/>
  <c r="O23" i="1"/>
  <c r="V22" i="1"/>
  <c r="O22" i="1"/>
  <c r="V21" i="1"/>
  <c r="S21" i="1"/>
  <c r="O21" i="1"/>
  <c r="V20" i="1"/>
  <c r="V19" i="1"/>
  <c r="V31" i="1" s="1"/>
  <c r="S19" i="1"/>
  <c r="R19" i="1"/>
  <c r="R31" i="1" s="1"/>
  <c r="O19" i="1"/>
  <c r="O31" i="1" s="1"/>
  <c r="N19" i="1"/>
  <c r="N31" i="1" s="1"/>
  <c r="I31" i="1"/>
  <c r="H31" i="1"/>
  <c r="E31" i="1"/>
  <c r="D31" i="1"/>
  <c r="J30" i="1"/>
  <c r="G30" i="1"/>
  <c r="C30" i="1"/>
  <c r="J29" i="1"/>
  <c r="G29" i="1"/>
  <c r="C29" i="1"/>
  <c r="J28" i="1"/>
  <c r="J27" i="1"/>
  <c r="G27" i="1"/>
  <c r="C27" i="1"/>
  <c r="B27" i="1"/>
  <c r="J26" i="1"/>
  <c r="G26" i="1"/>
  <c r="F26" i="1"/>
  <c r="C26" i="1"/>
  <c r="J25" i="1"/>
  <c r="C25" i="1"/>
  <c r="J24" i="1"/>
  <c r="G24" i="1"/>
  <c r="C24" i="1"/>
  <c r="J23" i="1"/>
  <c r="C23" i="1"/>
  <c r="J22" i="1"/>
  <c r="C22" i="1"/>
  <c r="J21" i="1"/>
  <c r="G21" i="1"/>
  <c r="F21" i="1"/>
  <c r="C21" i="1"/>
  <c r="B21" i="1"/>
  <c r="J20" i="1"/>
  <c r="G20" i="1"/>
  <c r="C20" i="1"/>
  <c r="J19" i="1"/>
  <c r="J31" i="1" s="1"/>
  <c r="G19" i="1"/>
  <c r="G31" i="1" s="1"/>
  <c r="F19" i="1"/>
  <c r="F31" i="1" s="1"/>
  <c r="C19" i="1"/>
  <c r="C31" i="1" s="1"/>
  <c r="B19" i="1"/>
  <c r="B31" i="1" s="1"/>
  <c r="U15" i="1"/>
  <c r="T15" i="1"/>
  <c r="Q15" i="1"/>
  <c r="V14" i="1"/>
  <c r="S14" i="1"/>
  <c r="O14" i="1"/>
  <c r="N14" i="1"/>
  <c r="N15" i="1" s="1"/>
  <c r="V13" i="1"/>
  <c r="S13" i="1"/>
  <c r="R13" i="1"/>
  <c r="O13" i="1"/>
  <c r="V12" i="1"/>
  <c r="O12" i="1"/>
  <c r="V11" i="1"/>
  <c r="V10" i="1"/>
  <c r="S10" i="1"/>
  <c r="O10" i="1"/>
  <c r="N10" i="1"/>
  <c r="V9" i="1"/>
  <c r="S9" i="1"/>
  <c r="O9" i="1"/>
  <c r="V8" i="1"/>
  <c r="P8" i="1"/>
  <c r="P15" i="1" s="1"/>
  <c r="O8" i="1"/>
  <c r="V7" i="1"/>
  <c r="O7" i="1"/>
  <c r="V6" i="1"/>
  <c r="O6" i="1"/>
  <c r="V5" i="1"/>
  <c r="S5" i="1"/>
  <c r="S15" i="1" s="1"/>
  <c r="R5" i="1"/>
  <c r="P5" i="1"/>
  <c r="O5" i="1"/>
  <c r="N5" i="1"/>
  <c r="V4" i="1"/>
  <c r="V3" i="1"/>
  <c r="V15" i="1" s="1"/>
  <c r="R3" i="1"/>
  <c r="R15" i="1" s="1"/>
  <c r="O3" i="1"/>
  <c r="O15" i="1" s="1"/>
  <c r="I15" i="1"/>
  <c r="H15" i="1"/>
  <c r="E15" i="1"/>
  <c r="J14" i="1"/>
  <c r="G14" i="1"/>
  <c r="J13" i="1"/>
  <c r="C13" i="1"/>
  <c r="B13" i="1"/>
  <c r="J12" i="1"/>
  <c r="G12" i="1"/>
  <c r="C12" i="1"/>
  <c r="J11" i="1"/>
  <c r="G11" i="1"/>
  <c r="F11" i="1"/>
  <c r="C11" i="1"/>
  <c r="J10" i="1"/>
  <c r="G10" i="1"/>
  <c r="C10" i="1"/>
  <c r="J9" i="1"/>
  <c r="G9" i="1"/>
  <c r="F9" i="1"/>
  <c r="C9" i="1"/>
  <c r="B9" i="1"/>
  <c r="J8" i="1"/>
  <c r="G8" i="1"/>
  <c r="F8" i="1"/>
  <c r="C8" i="1"/>
  <c r="B8" i="1"/>
  <c r="J7" i="1"/>
  <c r="G7" i="1"/>
  <c r="C7" i="1"/>
  <c r="J6" i="1"/>
  <c r="G6" i="1"/>
  <c r="F6" i="1"/>
  <c r="C6" i="1"/>
  <c r="B6" i="1"/>
  <c r="J5" i="1"/>
  <c r="G5" i="1"/>
  <c r="G15" i="1" s="1"/>
  <c r="F5" i="1"/>
  <c r="F15" i="1" s="1"/>
  <c r="D5" i="1"/>
  <c r="D15" i="1" s="1"/>
  <c r="C5" i="1"/>
  <c r="B5" i="1"/>
  <c r="B15" i="1" s="1"/>
  <c r="J4" i="1"/>
  <c r="G4" i="1"/>
  <c r="C4" i="1"/>
  <c r="B4" i="1"/>
  <c r="J3" i="1"/>
  <c r="J15" i="1" s="1"/>
  <c r="G3" i="1"/>
  <c r="F3" i="1"/>
  <c r="C3" i="1"/>
  <c r="C15" i="1" s="1"/>
  <c r="F61" i="25"/>
  <c r="F60" i="25"/>
  <c r="F59" i="25"/>
  <c r="F58" i="25"/>
  <c r="F57" i="25"/>
  <c r="F56" i="25"/>
  <c r="F55" i="25"/>
  <c r="F54" i="25"/>
  <c r="F53" i="25"/>
  <c r="F52" i="25"/>
  <c r="F51" i="25"/>
  <c r="F50" i="25"/>
  <c r="E49" i="25"/>
  <c r="F49" i="25"/>
  <c r="F48" i="25"/>
  <c r="F47" i="25"/>
  <c r="F46" i="25"/>
  <c r="F45" i="25"/>
  <c r="F44" i="25"/>
  <c r="F43" i="25"/>
  <c r="F42" i="25"/>
  <c r="F41" i="25"/>
  <c r="F40" i="25"/>
  <c r="F39" i="25"/>
  <c r="F38" i="25"/>
  <c r="F37" i="25"/>
  <c r="F36" i="25"/>
  <c r="F35" i="25"/>
  <c r="F34" i="25"/>
  <c r="F33" i="25"/>
  <c r="F32" i="25"/>
  <c r="F31" i="25"/>
  <c r="F30" i="25"/>
  <c r="F29" i="25"/>
  <c r="F28" i="25"/>
  <c r="F27" i="25"/>
  <c r="F26" i="25"/>
  <c r="F25" i="25"/>
  <c r="F24" i="25"/>
  <c r="F23" i="25"/>
  <c r="F22" i="25"/>
  <c r="F21" i="25"/>
  <c r="F20" i="25"/>
  <c r="F19" i="25"/>
  <c r="F18" i="25"/>
  <c r="F17" i="25"/>
  <c r="F16" i="25"/>
  <c r="F15" i="25"/>
  <c r="F14" i="25"/>
  <c r="F13" i="25"/>
  <c r="E13" i="25"/>
  <c r="F12" i="25"/>
  <c r="E12" i="25"/>
  <c r="E11" i="25"/>
  <c r="F11" i="25"/>
  <c r="E10" i="25"/>
  <c r="F10" i="25"/>
  <c r="F9" i="25"/>
  <c r="F8" i="25"/>
  <c r="F7" i="25"/>
  <c r="F6" i="25"/>
  <c r="F5" i="25"/>
  <c r="E4" i="25"/>
  <c r="F4" i="25"/>
  <c r="F3" i="25"/>
  <c r="F2" i="25"/>
  <c r="F61" i="24"/>
  <c r="F60" i="24"/>
  <c r="F59" i="24"/>
  <c r="F58" i="24"/>
  <c r="F57" i="24"/>
  <c r="F56" i="24"/>
  <c r="F55" i="24"/>
  <c r="F54" i="24"/>
  <c r="F53" i="24"/>
  <c r="F52" i="24"/>
  <c r="F51" i="24"/>
  <c r="F50" i="24"/>
  <c r="F49" i="24"/>
  <c r="F48" i="24"/>
  <c r="F47" i="24"/>
  <c r="F46" i="24"/>
  <c r="F45" i="24"/>
  <c r="F44" i="24"/>
  <c r="F43" i="24"/>
  <c r="F42" i="24"/>
  <c r="F41" i="24"/>
  <c r="F40" i="24"/>
  <c r="F39" i="24"/>
  <c r="F38" i="24"/>
  <c r="F37" i="24"/>
  <c r="F36" i="24"/>
  <c r="F35" i="24"/>
  <c r="F34" i="24"/>
  <c r="F33" i="24"/>
  <c r="F32" i="24"/>
  <c r="F31" i="24"/>
  <c r="F30" i="24"/>
  <c r="F29" i="24"/>
  <c r="F28" i="24"/>
  <c r="F27" i="24"/>
  <c r="F26" i="24"/>
  <c r="F25" i="24"/>
  <c r="F24" i="24"/>
  <c r="F23" i="24"/>
  <c r="F22" i="24"/>
  <c r="F21" i="24"/>
  <c r="F20" i="24"/>
  <c r="F19" i="24"/>
  <c r="F18" i="24"/>
  <c r="E17" i="24"/>
  <c r="F17" i="24"/>
  <c r="F16" i="24"/>
  <c r="F15" i="24"/>
  <c r="F14" i="24"/>
  <c r="F13" i="24"/>
  <c r="F12" i="24"/>
  <c r="F11" i="24"/>
  <c r="F10" i="24"/>
  <c r="F9" i="24"/>
  <c r="F8" i="24"/>
  <c r="F7" i="24"/>
  <c r="F6" i="24"/>
  <c r="F5" i="24"/>
  <c r="F4" i="24"/>
  <c r="F3" i="24"/>
  <c r="F2" i="24"/>
  <c r="G61" i="11"/>
  <c r="G60" i="11"/>
  <c r="G59" i="11"/>
  <c r="G58" i="11"/>
  <c r="G57" i="11"/>
  <c r="G56" i="11"/>
  <c r="G55" i="11"/>
  <c r="G54" i="11"/>
  <c r="G53" i="11"/>
  <c r="G52" i="11"/>
  <c r="G51" i="11"/>
  <c r="G50" i="11"/>
  <c r="G49" i="11"/>
  <c r="G48" i="11"/>
  <c r="G47" i="11"/>
  <c r="G46" i="11"/>
  <c r="G45" i="11"/>
  <c r="G44" i="11"/>
  <c r="G43" i="11"/>
  <c r="G42" i="11"/>
  <c r="G41" i="11"/>
  <c r="G40" i="11"/>
  <c r="G39" i="11"/>
  <c r="G38" i="11"/>
  <c r="G37" i="11"/>
  <c r="G36" i="11"/>
  <c r="G35" i="11"/>
  <c r="G34" i="11"/>
  <c r="G33" i="11"/>
  <c r="G32" i="11"/>
  <c r="G31" i="11"/>
  <c r="G30" i="11"/>
  <c r="G29" i="11"/>
  <c r="G28" i="11"/>
  <c r="G27" i="11"/>
  <c r="G26" i="11"/>
  <c r="G25" i="11"/>
  <c r="G24" i="11"/>
  <c r="G23" i="11"/>
  <c r="G22" i="11"/>
  <c r="G21" i="11"/>
  <c r="G20" i="11"/>
  <c r="G19" i="11"/>
  <c r="G18" i="11"/>
  <c r="G17" i="11"/>
  <c r="G16" i="11"/>
</calcChain>
</file>

<file path=xl/sharedStrings.xml><?xml version="1.0" encoding="utf-8"?>
<sst xmlns="http://schemas.openxmlformats.org/spreadsheetml/2006/main" count="3346" uniqueCount="58">
  <si>
    <t>April</t>
  </si>
  <si>
    <t>May</t>
  </si>
  <si>
    <t>June</t>
  </si>
  <si>
    <t>July</t>
  </si>
  <si>
    <t>August</t>
  </si>
  <si>
    <t>September</t>
  </si>
  <si>
    <t>October</t>
  </si>
  <si>
    <t>November</t>
  </si>
  <si>
    <t>December</t>
  </si>
  <si>
    <t>Body Checkup</t>
  </si>
  <si>
    <t>Sonography</t>
  </si>
  <si>
    <t>2d Echo</t>
  </si>
  <si>
    <t>TMT</t>
  </si>
  <si>
    <t>Dental</t>
  </si>
  <si>
    <t>X-ray</t>
  </si>
  <si>
    <t>Total</t>
  </si>
  <si>
    <t>2D Echo</t>
  </si>
  <si>
    <t>Doppler</t>
  </si>
  <si>
    <t>Mamo</t>
  </si>
  <si>
    <t>January</t>
  </si>
  <si>
    <t>March</t>
  </si>
  <si>
    <t>February</t>
  </si>
  <si>
    <t>2021-22</t>
  </si>
  <si>
    <t>2022-23</t>
  </si>
  <si>
    <t>2023-24</t>
  </si>
  <si>
    <t>2024-25</t>
  </si>
  <si>
    <t>2025-26</t>
  </si>
  <si>
    <t>Month</t>
  </si>
  <si>
    <t>Row Labels</t>
  </si>
  <si>
    <t>Grand Total</t>
  </si>
  <si>
    <t>Month Num</t>
  </si>
  <si>
    <t>service</t>
  </si>
  <si>
    <t xml:space="preserve">Year </t>
  </si>
  <si>
    <t xml:space="preserve">Service </t>
  </si>
  <si>
    <t xml:space="preserve">Count </t>
  </si>
  <si>
    <t>kjss</t>
  </si>
  <si>
    <t>non kjss</t>
  </si>
  <si>
    <t>kjss count</t>
  </si>
  <si>
    <t xml:space="preserve">Non kjss count </t>
  </si>
  <si>
    <t>Non kjss count</t>
  </si>
  <si>
    <t>Type</t>
  </si>
  <si>
    <t>Count</t>
  </si>
  <si>
    <t>Sum of Count</t>
  </si>
  <si>
    <t>non kjss count</t>
  </si>
  <si>
    <t>year</t>
  </si>
  <si>
    <t>type</t>
  </si>
  <si>
    <t>total</t>
  </si>
  <si>
    <t>Sum of total</t>
  </si>
  <si>
    <t>Sum of kjss</t>
  </si>
  <si>
    <t>Sum of non kjss</t>
  </si>
  <si>
    <t>Specific</t>
  </si>
  <si>
    <t>Bodycheckup_Sonography</t>
  </si>
  <si>
    <t>Bodycheckup_Xray</t>
  </si>
  <si>
    <t>Sonography in Bodycheckup</t>
  </si>
  <si>
    <t xml:space="preserve">Sonography </t>
  </si>
  <si>
    <t>Xray</t>
  </si>
  <si>
    <t>Xray in Bodycheckup</t>
  </si>
  <si>
    <t>Pathology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</si>
</sst>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name val="Calibri"/>
      <family val="2"/>
      <scheme val="minor"/>
    </font>
    <font>
      <sz val="11"/>
      <color theme="1"/>
      <name val="Calibri"/>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bgColor theme="4"/>
      </patternFill>
    </fill>
    <fill>
      <patternFill patternType="solid">
        <fgColor theme="0"/>
        <bgColor theme="4" tint="0.59999389629810485"/>
      </patternFill>
    </fill>
    <fill>
      <patternFill patternType="solid">
        <fgColor theme="0"/>
        <bgColor theme="4" tint="0.79998168889431442"/>
      </patternFill>
    </fill>
    <fill>
      <patternFill patternType="solid">
        <fgColor rgb="FFFFFF00"/>
        <bgColor indexed="64"/>
      </patternFill>
    </fill>
    <fill>
      <patternFill patternType="solid">
        <fgColor rgb="FFFFFF00"/>
        <bgColor theme="4" tint="0.79998168889431442"/>
      </patternFill>
    </fill>
    <fill>
      <patternFill patternType="solid">
        <fgColor rgb="FFFFFF00"/>
        <bgColor theme="4" tint="0.59999389629810485"/>
      </patternFill>
    </fill>
    <fill>
      <patternFill patternType="solid">
        <fgColor theme="4" tint="0.79998168889431442"/>
        <bgColor theme="4" tint="0.59999389629810485"/>
      </patternFill>
    </fill>
    <fill>
      <patternFill patternType="solid">
        <fgColor theme="4" tint="0.59999389629810485"/>
        <bgColor theme="4" tint="0.79998168889431442"/>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theme="0"/>
      </right>
      <top/>
      <bottom style="thick">
        <color theme="0"/>
      </bottom>
      <diagonal/>
    </border>
    <border>
      <left/>
      <right style="thin">
        <color theme="0"/>
      </right>
      <top/>
      <bottom/>
      <diagonal/>
    </border>
    <border>
      <left/>
      <right/>
      <top/>
      <bottom style="thick">
        <color theme="0"/>
      </bottom>
      <diagonal/>
    </border>
    <border>
      <left/>
      <right/>
      <top/>
      <bottom style="thin">
        <color theme="0"/>
      </bottom>
      <diagonal/>
    </border>
    <border>
      <left/>
      <right style="thin">
        <color theme="0"/>
      </right>
      <top/>
      <bottom style="thin">
        <color theme="0"/>
      </bottom>
      <diagonal/>
    </border>
    <border>
      <left style="thin">
        <color indexed="64"/>
      </left>
      <right style="thin">
        <color indexed="64"/>
      </right>
      <top/>
      <bottom style="thin">
        <color theme="0"/>
      </bottom>
      <diagonal/>
    </border>
    <border>
      <left/>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theme="0"/>
      </left>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3">
    <xf numFmtId="0" fontId="0" fillId="0" borderId="0" xfId="0"/>
    <xf numFmtId="0" fontId="0" fillId="0" borderId="10" xfId="0" applyBorder="1"/>
    <xf numFmtId="0" fontId="16" fillId="0" borderId="10" xfId="0" applyFont="1" applyBorder="1"/>
    <xf numFmtId="0" fontId="16" fillId="0" borderId="0" xfId="0" applyFont="1" applyAlignment="1">
      <alignment vertical="center"/>
    </xf>
    <xf numFmtId="0" fontId="0" fillId="0" borderId="10" xfId="0" applyBorder="1" applyAlignment="1">
      <alignment wrapText="1"/>
    </xf>
    <xf numFmtId="0" fontId="16" fillId="0" borderId="14" xfId="0" applyFont="1" applyBorder="1" applyAlignment="1">
      <alignment wrapText="1"/>
    </xf>
    <xf numFmtId="0" fontId="16" fillId="0" borderId="10" xfId="0" applyFont="1" applyBorder="1" applyAlignment="1">
      <alignment wrapText="1"/>
    </xf>
    <xf numFmtId="0" fontId="0" fillId="0" borderId="14" xfId="0" applyBorder="1" applyAlignment="1">
      <alignment wrapText="1"/>
    </xf>
    <xf numFmtId="0" fontId="0" fillId="0" borderId="15" xfId="0" applyBorder="1"/>
    <xf numFmtId="0" fontId="0" fillId="0" borderId="16"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xf numFmtId="0" fontId="13" fillId="33" borderId="17" xfId="0" applyFont="1" applyFill="1" applyBorder="1"/>
    <xf numFmtId="0" fontId="13" fillId="33" borderId="18" xfId="0" applyFont="1" applyFill="1" applyBorder="1"/>
    <xf numFmtId="0" fontId="13" fillId="33" borderId="19" xfId="0" applyFont="1" applyFill="1" applyBorder="1"/>
    <xf numFmtId="0" fontId="16" fillId="34" borderId="20" xfId="0" applyFont="1" applyFill="1" applyBorder="1"/>
    <xf numFmtId="0" fontId="0" fillId="34" borderId="10" xfId="0" applyFill="1" applyBorder="1"/>
    <xf numFmtId="0" fontId="0" fillId="34" borderId="20" xfId="0" applyFill="1" applyBorder="1"/>
    <xf numFmtId="0" fontId="16" fillId="34" borderId="10" xfId="0" applyFont="1" applyFill="1" applyBorder="1"/>
    <xf numFmtId="0" fontId="0" fillId="34" borderId="21" xfId="0" applyFill="1" applyBorder="1"/>
    <xf numFmtId="0" fontId="0" fillId="35" borderId="20" xfId="0" applyFill="1" applyBorder="1"/>
    <xf numFmtId="0" fontId="0" fillId="35" borderId="10" xfId="0" applyFill="1" applyBorder="1"/>
    <xf numFmtId="0" fontId="0" fillId="35" borderId="21" xfId="0" applyFill="1" applyBorder="1"/>
    <xf numFmtId="0" fontId="0" fillId="35" borderId="22" xfId="0" applyFill="1" applyBorder="1"/>
    <xf numFmtId="0" fontId="0" fillId="34" borderId="22" xfId="0" applyFill="1" applyBorder="1"/>
    <xf numFmtId="0" fontId="0" fillId="35" borderId="15" xfId="0" applyFill="1" applyBorder="1"/>
    <xf numFmtId="0" fontId="0" fillId="35" borderId="18" xfId="0" applyFill="1" applyBorder="1"/>
    <xf numFmtId="0" fontId="16" fillId="34" borderId="23" xfId="0" applyFont="1" applyFill="1" applyBorder="1"/>
    <xf numFmtId="0" fontId="0" fillId="34" borderId="24" xfId="0" applyFill="1" applyBorder="1"/>
    <xf numFmtId="0" fontId="0" fillId="34" borderId="23" xfId="0" applyFill="1" applyBorder="1"/>
    <xf numFmtId="10" fontId="0" fillId="0" borderId="0" xfId="0" applyNumberFormat="1"/>
    <xf numFmtId="0" fontId="19" fillId="36" borderId="10" xfId="0" applyFont="1" applyFill="1" applyBorder="1" applyAlignment="1">
      <alignment vertical="center"/>
    </xf>
    <xf numFmtId="0" fontId="0" fillId="37" borderId="10" xfId="0" applyFill="1" applyBorder="1" applyAlignment="1">
      <alignment vertical="center"/>
    </xf>
    <xf numFmtId="0" fontId="19" fillId="36" borderId="16" xfId="0" applyFont="1" applyFill="1" applyBorder="1" applyAlignment="1">
      <alignment vertical="center"/>
    </xf>
    <xf numFmtId="0" fontId="0" fillId="37" borderId="16" xfId="0" applyFill="1" applyBorder="1" applyAlignment="1">
      <alignment vertical="center"/>
    </xf>
    <xf numFmtId="0" fontId="13" fillId="33" borderId="25" xfId="0" applyFont="1" applyFill="1" applyBorder="1"/>
    <xf numFmtId="0" fontId="13" fillId="33" borderId="26" xfId="0" applyFont="1" applyFill="1" applyBorder="1"/>
    <xf numFmtId="0" fontId="13" fillId="33" borderId="0" xfId="0" applyFont="1" applyFill="1"/>
    <xf numFmtId="0" fontId="16" fillId="34" borderId="27" xfId="0" applyFont="1" applyFill="1" applyBorder="1"/>
    <xf numFmtId="0" fontId="0" fillId="34" borderId="27" xfId="0" applyFill="1" applyBorder="1"/>
    <xf numFmtId="0" fontId="16" fillId="34" borderId="21" xfId="0" applyFont="1" applyFill="1" applyBorder="1"/>
    <xf numFmtId="0" fontId="0" fillId="37" borderId="10" xfId="0" applyFill="1" applyBorder="1"/>
    <xf numFmtId="0" fontId="0" fillId="38" borderId="10" xfId="0" applyFill="1" applyBorder="1"/>
    <xf numFmtId="0" fontId="0" fillId="37" borderId="10" xfId="0" applyFill="1" applyBorder="1" applyAlignment="1">
      <alignment wrapText="1"/>
    </xf>
    <xf numFmtId="0" fontId="0" fillId="38" borderId="10" xfId="0" applyFill="1" applyBorder="1" applyAlignment="1">
      <alignment wrapText="1"/>
    </xf>
    <xf numFmtId="0" fontId="20" fillId="0" borderId="10" xfId="0" applyFont="1" applyBorder="1"/>
    <xf numFmtId="0" fontId="0" fillId="39" borderId="10" xfId="0" applyFill="1" applyBorder="1"/>
    <xf numFmtId="0" fontId="0" fillId="39" borderId="10" xfId="0" applyFill="1" applyBorder="1" applyAlignment="1">
      <alignment wrapText="1"/>
    </xf>
    <xf numFmtId="0" fontId="0" fillId="40" borderId="10" xfId="0" applyFill="1" applyBorder="1"/>
    <xf numFmtId="0" fontId="0" fillId="40" borderId="28" xfId="0" applyFill="1" applyBorder="1"/>
    <xf numFmtId="0" fontId="0" fillId="41" borderId="28" xfId="0" applyFill="1" applyBorder="1"/>
    <xf numFmtId="0" fontId="0" fillId="41" borderId="10" xfId="0" applyFill="1" applyBorder="1"/>
    <xf numFmtId="0" fontId="0" fillId="41" borderId="10" xfId="0" applyFill="1" applyBorder="1" applyAlignment="1">
      <alignment wrapText="1"/>
    </xf>
    <xf numFmtId="0" fontId="0" fillId="40" borderId="10" xfId="0" applyFill="1" applyBorder="1" applyAlignment="1">
      <alignment wrapText="1"/>
    </xf>
    <xf numFmtId="0" fontId="0" fillId="35" borderId="10" xfId="0" applyFill="1" applyBorder="1" applyAlignment="1">
      <alignment wrapText="1"/>
    </xf>
    <xf numFmtId="0" fontId="0" fillId="42" borderId="21" xfId="0" applyFill="1" applyBorder="1"/>
    <xf numFmtId="0" fontId="0" fillId="43" borderId="21" xfId="0" applyFill="1" applyBorder="1"/>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alignment horizontal="left" vertical="bottom" textRotation="0" wrapText="0" indent="0" justifyLastLine="0" shrinkToFit="0" readingOrder="0"/>
    </dxf>
    <dxf>
      <fill>
        <patternFill patternType="solid">
          <fgColor indexed="64"/>
          <bgColor rgb="FFFFFF0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4" tint="0.79998168889431442"/>
        </patternFill>
      </fill>
      <border diagonalUp="0" diagonalDown="0">
        <left/>
        <right style="thin">
          <color theme="0"/>
        </right>
        <top/>
        <bottom style="thin">
          <color theme="0"/>
        </bottom>
        <vertical/>
        <horizontal/>
      </border>
    </dxf>
    <dxf>
      <fill>
        <patternFill patternType="solid">
          <fgColor theme="4" tint="0.79998168889431442"/>
          <bgColor theme="4" tint="0.79998168889431442"/>
        </patternFill>
      </fill>
      <border diagonalUp="0" diagonalDown="0">
        <left/>
        <right style="thin">
          <color theme="0"/>
        </right>
        <top/>
        <bottom style="thin">
          <color theme="0"/>
        </bottom>
        <vertical/>
        <horizontal/>
      </border>
    </dxf>
    <dxf>
      <fill>
        <patternFill patternType="solid">
          <fgColor theme="4" tint="0.79998168889431442"/>
          <bgColor theme="4" tint="0.79998168889431442"/>
        </patternFill>
      </fill>
      <border diagonalUp="0" diagonalDown="0">
        <left/>
        <right style="thin">
          <color theme="0"/>
        </right>
        <top/>
        <bottom style="thin">
          <color theme="0"/>
        </bottom>
        <vertical/>
        <horizontal/>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left" vertical="bottom" textRotation="0" wrapText="0" indent="0" justifyLastLine="0" shrinkToFit="0" readingOrder="0"/>
    </dxf>
    <dxf>
      <fill>
        <patternFill patternType="solid">
          <fgColor indexed="64"/>
          <bgColor rgb="FFFFFF0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theme="4"/>
        </patternFill>
      </fill>
    </dxf>
    <dxf>
      <alignment horizontal="left" vertical="bottom" textRotation="0" wrapText="0" indent="0" justifyLastLine="0" shrinkToFit="0" readingOrder="0"/>
    </dxf>
    <dxf>
      <fill>
        <patternFill patternType="solid">
          <fgColor theme="4" tint="0.59999389629810485"/>
          <bgColor theme="4" tint="0.59999389629810485"/>
        </patternFill>
      </fill>
      <border diagonalUp="0" diagonalDown="0">
        <left/>
        <right/>
        <top/>
        <bottom style="thin">
          <color theme="0"/>
        </bottom>
        <vertical/>
        <horizontal/>
      </border>
    </dxf>
    <dxf>
      <fill>
        <patternFill patternType="solid">
          <fgColor theme="4" tint="0.79998168889431442"/>
          <bgColor theme="4" tint="0.79998168889431442"/>
        </patternFill>
      </fill>
      <border diagonalUp="0" diagonalDown="0">
        <left/>
        <right style="thin">
          <color theme="0"/>
        </right>
        <top/>
        <bottom style="thin">
          <color theme="0"/>
        </bottom>
        <vertical/>
        <horizontal/>
      </border>
    </dxf>
    <dxf>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4" tint="0.79998168889431442"/>
        </patternFill>
      </fill>
      <border diagonalUp="0" diagonalDown="0">
        <left/>
        <right/>
        <top/>
        <bottom style="thin">
          <color theme="0"/>
        </bottom>
        <vertical/>
        <horizontal/>
      </border>
    </dxf>
    <dxf>
      <fill>
        <patternFill patternType="solid">
          <fgColor theme="4" tint="0.79998168889431442"/>
          <bgColor theme="4" tint="0.79998168889431442"/>
        </patternFill>
      </fill>
      <border diagonalUp="0" diagonalDown="0">
        <left style="thin">
          <color indexed="64"/>
        </left>
        <right style="thin">
          <color indexed="64"/>
        </right>
        <top/>
        <bottom style="thin">
          <color theme="0"/>
        </bottom>
        <vertical/>
        <horizontal/>
      </border>
    </dxf>
    <dxf>
      <fill>
        <patternFill patternType="solid">
          <fgColor theme="4" tint="0.79998168889431442"/>
          <bgColor theme="4" tint="0.79998168889431442"/>
        </patternFill>
      </fill>
      <border diagonalUp="0" diagonalDown="0">
        <left/>
        <right/>
        <top/>
        <bottom style="thin">
          <color theme="0"/>
        </bottom>
        <vertical/>
        <horizontal/>
      </border>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
      <alignment horizontal="left" vertical="bottom" textRotation="0" wrapText="0" indent="0" justifyLastLine="0" shrinkToFit="0" readingOrder="0"/>
    </dxf>
    <dxf>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ill>
        <patternFill patternType="solid">
          <fgColor theme="4" tint="0.79998168889431442"/>
          <bgColor theme="4" tint="0.79998168889431442"/>
        </patternFill>
      </fill>
      <border diagonalUp="0" diagonalDown="0">
        <left/>
        <right style="thin">
          <color theme="0"/>
        </right>
        <top/>
        <bottom style="thin">
          <color theme="0"/>
        </bottom>
        <vertical/>
        <horizontal/>
      </border>
    </dxf>
    <dxf>
      <fill>
        <patternFill patternType="solid">
          <fgColor indexed="64"/>
          <bgColor rgb="FFFFFF0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4" tint="0.79998168889431442"/>
        </patternFill>
      </fill>
      <border diagonalUp="0" diagonalDown="0">
        <left/>
        <right/>
        <top/>
        <bottom style="thin">
          <color theme="0"/>
        </bottom>
        <vertical/>
        <horizontal/>
      </border>
    </dxf>
    <dxf>
      <fill>
        <patternFill patternType="solid">
          <fgColor theme="4" tint="0.79998168889431442"/>
          <bgColor theme="4" tint="0.79998168889431442"/>
        </patternFill>
      </fill>
      <border diagonalUp="0" diagonalDown="0">
        <left style="thin">
          <color indexed="64"/>
        </left>
        <right style="thin">
          <color indexed="64"/>
        </right>
        <top/>
        <bottom style="thin">
          <color theme="0"/>
        </bottom>
        <vertical/>
        <horizontal/>
      </border>
    </dxf>
    <dxf>
      <fill>
        <patternFill patternType="solid">
          <fgColor theme="4" tint="0.79998168889431442"/>
          <bgColor theme="4" tint="0.79998168889431442"/>
        </patternFill>
      </fill>
      <border diagonalUp="0" diagonalDown="0">
        <left/>
        <right/>
        <top/>
        <bottom style="thin">
          <color theme="0"/>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theme="4" tint="0.59999389629810485"/>
          <bgColor theme="4"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4" tint="0.79998168889431442"/>
        </patternFill>
      </fill>
      <border diagonalUp="0" diagonalDown="0">
        <left/>
        <right style="thin">
          <color theme="0"/>
        </right>
        <top/>
        <bottom style="thin">
          <color theme="0"/>
        </bottom>
        <vertical/>
        <horizontal/>
      </border>
    </dxf>
    <dxf>
      <fill>
        <patternFill patternType="solid">
          <fgColor indexed="64"/>
          <bgColor rgb="FFFFFF0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59999389629810485"/>
          <bgColor theme="4"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4" tint="0.79998168889431442"/>
        </patternFill>
      </fill>
      <border diagonalUp="0" diagonalDown="0">
        <left/>
        <right/>
        <top/>
        <bottom style="thin">
          <color theme="0"/>
        </bottom>
        <vertical/>
        <horizontal/>
      </border>
    </dxf>
    <dxf>
      <fill>
        <patternFill patternType="solid">
          <fgColor theme="4" tint="0.79998168889431442"/>
          <bgColor theme="4" tint="0.79998168889431442"/>
        </patternFill>
      </fill>
      <border diagonalUp="0" diagonalDown="0">
        <left style="thin">
          <color indexed="64"/>
        </left>
        <right style="thin">
          <color indexed="64"/>
        </right>
        <top/>
        <bottom style="thin">
          <color theme="0"/>
        </bottom>
        <vertical/>
        <horizontal/>
      </border>
    </dxf>
    <dxf>
      <fill>
        <patternFill patternType="solid">
          <fgColor theme="4" tint="0.79998168889431442"/>
          <bgColor theme="4" tint="0.79998168889431442"/>
        </patternFill>
      </fill>
      <border diagonalUp="0" diagonalDown="0">
        <left/>
        <right/>
        <top/>
        <bottom style="thin">
          <color theme="0"/>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lef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pivotCacheDefinition" Target="pivotCache/pivotCacheDefinition9.xml"/><Relationship Id="rId42" Type="http://schemas.microsoft.com/office/2007/relationships/slicerCache" Target="slicerCaches/slicerCache2.xml"/><Relationship Id="rId47" Type="http://schemas.microsoft.com/office/2007/relationships/slicerCache" Target="slicerCaches/slicerCache7.xml"/><Relationship Id="rId50" Type="http://schemas.microsoft.com/office/2007/relationships/slicerCache" Target="slicerCaches/slicerCache10.xml"/><Relationship Id="rId55" Type="http://schemas.microsoft.com/office/2007/relationships/slicerCache" Target="slicerCaches/slicerCache15.xml"/><Relationship Id="rId63" Type="http://schemas.microsoft.com/office/2007/relationships/slicerCache" Target="slicerCaches/slicerCache23.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7.xml"/><Relationship Id="rId37" Type="http://schemas.openxmlformats.org/officeDocument/2006/relationships/pivotCacheDefinition" Target="pivotCache/pivotCacheDefinition12.xml"/><Relationship Id="rId40" Type="http://schemas.openxmlformats.org/officeDocument/2006/relationships/pivotCacheDefinition" Target="pivotCache/pivotCacheDefinition15.xml"/><Relationship Id="rId45" Type="http://schemas.microsoft.com/office/2007/relationships/slicerCache" Target="slicerCaches/slicerCache5.xml"/><Relationship Id="rId53" Type="http://schemas.microsoft.com/office/2007/relationships/slicerCache" Target="slicerCaches/slicerCache13.xml"/><Relationship Id="rId58" Type="http://schemas.microsoft.com/office/2007/relationships/slicerCache" Target="slicerCaches/slicerCache18.xml"/><Relationship Id="rId66" Type="http://schemas.openxmlformats.org/officeDocument/2006/relationships/styles" Target="styles.xml"/><Relationship Id="rId5" Type="http://schemas.openxmlformats.org/officeDocument/2006/relationships/worksheet" Target="worksheets/sheet5.xml"/><Relationship Id="rId61" Type="http://schemas.microsoft.com/office/2007/relationships/slicerCache" Target="slicerCaches/slicerCache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pivotCacheDefinition" Target="pivotCache/pivotCacheDefinition5.xml"/><Relationship Id="rId35" Type="http://schemas.openxmlformats.org/officeDocument/2006/relationships/pivotCacheDefinition" Target="pivotCache/pivotCacheDefinition10.xml"/><Relationship Id="rId43" Type="http://schemas.microsoft.com/office/2007/relationships/slicerCache" Target="slicerCaches/slicerCache3.xml"/><Relationship Id="rId48" Type="http://schemas.microsoft.com/office/2007/relationships/slicerCache" Target="slicerCaches/slicerCache8.xml"/><Relationship Id="rId56" Type="http://schemas.microsoft.com/office/2007/relationships/slicerCache" Target="slicerCaches/slicerCache16.xml"/><Relationship Id="rId64" Type="http://schemas.microsoft.com/office/2007/relationships/slicerCache" Target="slicerCaches/slicerCache24.xml"/><Relationship Id="rId8" Type="http://schemas.openxmlformats.org/officeDocument/2006/relationships/worksheet" Target="worksheets/sheet8.xml"/><Relationship Id="rId51" Type="http://schemas.microsoft.com/office/2007/relationships/slicerCache" Target="slicerCaches/slicerCache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8.xml"/><Relationship Id="rId38" Type="http://schemas.openxmlformats.org/officeDocument/2006/relationships/pivotCacheDefinition" Target="pivotCache/pivotCacheDefinition13.xml"/><Relationship Id="rId46" Type="http://schemas.microsoft.com/office/2007/relationships/slicerCache" Target="slicerCaches/slicerCache6.xml"/><Relationship Id="rId59" Type="http://schemas.microsoft.com/office/2007/relationships/slicerCache" Target="slicerCaches/slicerCache1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microsoft.com/office/2007/relationships/slicerCache" Target="slicerCaches/slicerCache1.xml"/><Relationship Id="rId54" Type="http://schemas.microsoft.com/office/2007/relationships/slicerCache" Target="slicerCaches/slicerCache14.xml"/><Relationship Id="rId62" Type="http://schemas.microsoft.com/office/2007/relationships/slicerCache" Target="slicerCaches/slicerCache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pivotCacheDefinition" Target="pivotCache/pivotCacheDefinition11.xml"/><Relationship Id="rId49" Type="http://schemas.microsoft.com/office/2007/relationships/slicerCache" Target="slicerCaches/slicerCache9.xml"/><Relationship Id="rId57" Type="http://schemas.microsoft.com/office/2007/relationships/slicerCache" Target="slicerCaches/slicerCache17.xml"/><Relationship Id="rId10" Type="http://schemas.openxmlformats.org/officeDocument/2006/relationships/worksheet" Target="worksheets/sheet10.xml"/><Relationship Id="rId31" Type="http://schemas.openxmlformats.org/officeDocument/2006/relationships/pivotCacheDefinition" Target="pivotCache/pivotCacheDefinition6.xml"/><Relationship Id="rId44" Type="http://schemas.microsoft.com/office/2007/relationships/slicerCache" Target="slicerCaches/slicerCache4.xml"/><Relationship Id="rId52" Type="http://schemas.microsoft.com/office/2007/relationships/slicerCache" Target="slicerCaches/slicerCache12.xml"/><Relationship Id="rId60" Type="http://schemas.microsoft.com/office/2007/relationships/slicerCache" Target="slicerCaches/slicerCache2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0.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2.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3.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5.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6.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[Patient_Data.xlsx]pivot!PivotTable2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pivot!$A$3:$A$8</c:f>
              <c:strCache>
                <c:ptCount val="5"/>
                <c:pt idx="0">
                  <c:v>2021-22</c:v>
                </c:pt>
                <c:pt idx="1">
                  <c:v>2022-23</c:v>
                </c:pt>
                <c:pt idx="2">
                  <c:v>2023-24</c:v>
                </c:pt>
                <c:pt idx="3">
                  <c:v>2024-25</c:v>
                </c:pt>
                <c:pt idx="4">
                  <c:v>2025-26</c:v>
                </c:pt>
              </c:strCache>
            </c:strRef>
          </c:cat>
          <c:val>
            <c:numRef>
              <c:f>pivot!$B$3:$B$8</c:f>
              <c:numCache>
                <c:formatCode>General</c:formatCode>
                <c:ptCount val="5"/>
                <c:pt idx="0">
                  <c:v>61589</c:v>
                </c:pt>
                <c:pt idx="1">
                  <c:v>65550</c:v>
                </c:pt>
                <c:pt idx="2">
                  <c:v>66359</c:v>
                </c:pt>
                <c:pt idx="3">
                  <c:v>66973</c:v>
                </c:pt>
                <c:pt idx="4">
                  <c:v>62776</c:v>
                </c:pt>
              </c:numCache>
            </c:numRef>
          </c:val>
          <c:extLst>
            <c:ext xmlns:c16="http://schemas.microsoft.com/office/drawing/2014/chart" uri="{C3380CC4-5D6E-409C-BE32-E72D297353CC}">
              <c16:uniqueId val="{00000006-2AE4-4FBD-BBFB-11FE3C8012BA}"/>
            </c:ext>
          </c:extLst>
        </c:ser>
        <c:dLbls>
          <c:dLblPos val="outEnd"/>
          <c:showLegendKey val="0"/>
          <c:showVal val="1"/>
          <c:showCatName val="0"/>
          <c:showSerName val="0"/>
          <c:showPercent val="0"/>
          <c:showBubbleSize val="0"/>
        </c:dLbls>
        <c:gapWidth val="219"/>
        <c:overlap val="-27"/>
        <c:axId val="966562784"/>
        <c:axId val="966564704"/>
      </c:barChart>
      <c:catAx>
        <c:axId val="96656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564704"/>
        <c:crosses val="autoZero"/>
        <c:auto val="1"/>
        <c:lblAlgn val="ctr"/>
        <c:lblOffset val="100"/>
        <c:noMultiLvlLbl val="0"/>
      </c:catAx>
      <c:valAx>
        <c:axId val="96656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56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[Patient_Data.xlsx]pivot!PivotTable3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pivot!$J$2</c:f>
              <c:strCache>
                <c:ptCount val="1"/>
                <c:pt idx="0">
                  <c:v>Total</c:v>
                </c:pt>
              </c:strCache>
            </c:strRef>
          </c:tx>
          <c:spPr>
            <a:ln w="28575" cap="rnd">
              <a:solidFill>
                <a:schemeClr val="accent1"/>
              </a:solidFill>
              <a:round/>
            </a:ln>
            <a:effectLst/>
          </c:spPr>
          <c:marker>
            <c:symbol val="none"/>
          </c:marker>
          <c:cat>
            <c:multiLvlStrRef>
              <c:f>pivot!$I$3:$I$27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pivot!$J$3:$J$27</c:f>
              <c:numCache>
                <c:formatCode>General</c:formatCode>
                <c:ptCount val="12"/>
                <c:pt idx="0">
                  <c:v>25750</c:v>
                </c:pt>
                <c:pt idx="1">
                  <c:v>25083</c:v>
                </c:pt>
                <c:pt idx="2">
                  <c:v>26978</c:v>
                </c:pt>
                <c:pt idx="3">
                  <c:v>30955</c:v>
                </c:pt>
                <c:pt idx="4">
                  <c:v>28349</c:v>
                </c:pt>
                <c:pt idx="5">
                  <c:v>30787</c:v>
                </c:pt>
                <c:pt idx="6">
                  <c:v>24811</c:v>
                </c:pt>
                <c:pt idx="7">
                  <c:v>24127</c:v>
                </c:pt>
                <c:pt idx="8">
                  <c:v>25930</c:v>
                </c:pt>
                <c:pt idx="9">
                  <c:v>23623</c:v>
                </c:pt>
                <c:pt idx="10">
                  <c:v>26824</c:v>
                </c:pt>
                <c:pt idx="11">
                  <c:v>30030</c:v>
                </c:pt>
              </c:numCache>
            </c:numRef>
          </c:val>
          <c:smooth val="0"/>
          <c:extLst>
            <c:ext xmlns:c16="http://schemas.microsoft.com/office/drawing/2014/chart" uri="{C3380CC4-5D6E-409C-BE32-E72D297353CC}">
              <c16:uniqueId val="{00000000-1C4A-40C6-9BDD-26DBC73A3B58}"/>
            </c:ext>
          </c:extLst>
        </c:ser>
        <c:dLbls>
          <c:showLegendKey val="0"/>
          <c:showVal val="0"/>
          <c:showCatName val="0"/>
          <c:showSerName val="0"/>
          <c:showPercent val="0"/>
          <c:showBubbleSize val="0"/>
        </c:dLbls>
        <c:smooth val="0"/>
        <c:axId val="274794832"/>
        <c:axId val="274794352"/>
      </c:lineChart>
      <c:catAx>
        <c:axId val="27479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794352"/>
        <c:crosses val="autoZero"/>
        <c:auto val="1"/>
        <c:lblAlgn val="ctr"/>
        <c:lblOffset val="100"/>
        <c:noMultiLvlLbl val="0"/>
      </c:catAx>
      <c:valAx>
        <c:axId val="27479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79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[Patient_Data.xlsx]pivot!PivotTable4</c:name>
    <c:fmtId val="12"/>
  </c:pivotSource>
  <c:chart>
    <c:title>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3194076-FE36-49B5-A89E-399F3AB87618}"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948451F-CA70-402F-9A25-0B44B429681C}"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B66944A-4A35-4E9D-A6B8-DE070B5994E7}"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02515AC-CC87-4B67-B8A8-FB3086B09210}"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5DC5A2E-7F89-4726-8ABC-FBABD0660F14}"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659FCC0-225B-4D16-9C73-BA8152AD8216}"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BFBDC49-E6E9-4E16-B629-6F34703EFCB5}"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43F5F14-0A1E-48BB-8984-F56FDDC88B7E}"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A643519-0D69-42E1-BD7A-8D262401441B}"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pivot!$B$37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E34C-41C9-8AE8-5E7FF766B70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E34C-41C9-8AE8-5E7FF766B70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34C-41C9-8AE8-5E7FF766B70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34C-41C9-8AE8-5E7FF766B70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E34C-41C9-8AE8-5E7FF766B70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E34C-41C9-8AE8-5E7FF766B703}"/>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34C-41C9-8AE8-5E7FF766B703}"/>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E34C-41C9-8AE8-5E7FF766B703}"/>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34C-41C9-8AE8-5E7FF766B703}"/>
              </c:ext>
            </c:extLst>
          </c:dPt>
          <c:dLbls>
            <c:dLbl>
              <c:idx val="0"/>
              <c:tx>
                <c:rich>
                  <a:bodyPr/>
                  <a:lstStyle/>
                  <a:p>
                    <a:fld id="{63194076-FE36-49B5-A89E-399F3AB87618}"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E34C-41C9-8AE8-5E7FF766B703}"/>
                </c:ext>
              </c:extLst>
            </c:dLbl>
            <c:dLbl>
              <c:idx val="1"/>
              <c:tx>
                <c:rich>
                  <a:bodyPr/>
                  <a:lstStyle/>
                  <a:p>
                    <a:fld id="{E948451F-CA70-402F-9A25-0B44B429681C}"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E34C-41C9-8AE8-5E7FF766B703}"/>
                </c:ext>
              </c:extLst>
            </c:dLbl>
            <c:dLbl>
              <c:idx val="2"/>
              <c:tx>
                <c:rich>
                  <a:bodyPr/>
                  <a:lstStyle/>
                  <a:p>
                    <a:fld id="{C43F5F14-0A1E-48BB-8984-F56FDDC88B7E}"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34C-41C9-8AE8-5E7FF766B703}"/>
                </c:ext>
              </c:extLst>
            </c:dLbl>
            <c:dLbl>
              <c:idx val="3"/>
              <c:tx>
                <c:rich>
                  <a:bodyPr/>
                  <a:lstStyle/>
                  <a:p>
                    <a:fld id="{E02515AC-CC87-4B67-B8A8-FB3086B09210}"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34C-41C9-8AE8-5E7FF766B703}"/>
                </c:ext>
              </c:extLst>
            </c:dLbl>
            <c:dLbl>
              <c:idx val="4"/>
              <c:tx>
                <c:rich>
                  <a:bodyPr/>
                  <a:lstStyle/>
                  <a:p>
                    <a:fld id="{CBFBDC49-E6E9-4E16-B629-6F34703EFCB5}"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E34C-41C9-8AE8-5E7FF766B703}"/>
                </c:ext>
              </c:extLst>
            </c:dLbl>
            <c:dLbl>
              <c:idx val="5"/>
              <c:tx>
                <c:rich>
                  <a:bodyPr/>
                  <a:lstStyle/>
                  <a:p>
                    <a:fld id="{EA643519-0D69-42E1-BD7A-8D262401441B}"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34C-41C9-8AE8-5E7FF766B703}"/>
                </c:ext>
              </c:extLst>
            </c:dLbl>
            <c:dLbl>
              <c:idx val="6"/>
              <c:tx>
                <c:rich>
                  <a:bodyPr/>
                  <a:lstStyle/>
                  <a:p>
                    <a:fld id="{C659FCC0-225B-4D16-9C73-BA8152AD8216}"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34C-41C9-8AE8-5E7FF766B703}"/>
                </c:ext>
              </c:extLst>
            </c:dLbl>
            <c:dLbl>
              <c:idx val="7"/>
              <c:tx>
                <c:rich>
                  <a:bodyPr/>
                  <a:lstStyle/>
                  <a:p>
                    <a:fld id="{A5DC5A2E-7F89-4726-8ABC-FBABD0660F14}"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34C-41C9-8AE8-5E7FF766B703}"/>
                </c:ext>
              </c:extLst>
            </c:dLbl>
            <c:dLbl>
              <c:idx val="8"/>
              <c:tx>
                <c:rich>
                  <a:bodyPr/>
                  <a:lstStyle/>
                  <a:p>
                    <a:fld id="{9B66944A-4A35-4E9D-A6B8-DE070B5994E7}"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E34C-41C9-8AE8-5E7FF766B70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pivot!$A$38:$A$47</c:f>
              <c:strCache>
                <c:ptCount val="9"/>
                <c:pt idx="0">
                  <c:v>Pathology</c:v>
                </c:pt>
                <c:pt idx="1">
                  <c:v>Sonography</c:v>
                </c:pt>
                <c:pt idx="2">
                  <c:v>X-ray</c:v>
                </c:pt>
                <c:pt idx="3">
                  <c:v>Dental</c:v>
                </c:pt>
                <c:pt idx="4">
                  <c:v>Body Checkup</c:v>
                </c:pt>
                <c:pt idx="5">
                  <c:v>2D Echo</c:v>
                </c:pt>
                <c:pt idx="6">
                  <c:v>Doppler</c:v>
                </c:pt>
                <c:pt idx="7">
                  <c:v>Mamo</c:v>
                </c:pt>
                <c:pt idx="8">
                  <c:v>TMT</c:v>
                </c:pt>
              </c:strCache>
            </c:strRef>
          </c:cat>
          <c:val>
            <c:numRef>
              <c:f>pivot!$B$38:$B$47</c:f>
              <c:numCache>
                <c:formatCode>General</c:formatCode>
                <c:ptCount val="9"/>
                <c:pt idx="0">
                  <c:v>173684</c:v>
                </c:pt>
                <c:pt idx="1">
                  <c:v>53390</c:v>
                </c:pt>
                <c:pt idx="2">
                  <c:v>37851</c:v>
                </c:pt>
                <c:pt idx="3">
                  <c:v>25327</c:v>
                </c:pt>
                <c:pt idx="4">
                  <c:v>20160</c:v>
                </c:pt>
                <c:pt idx="5">
                  <c:v>7406</c:v>
                </c:pt>
                <c:pt idx="6">
                  <c:v>2983</c:v>
                </c:pt>
                <c:pt idx="7">
                  <c:v>1538</c:v>
                </c:pt>
                <c:pt idx="8">
                  <c:v>908</c:v>
                </c:pt>
              </c:numCache>
            </c:numRef>
          </c:val>
          <c:extLst>
            <c:ext xmlns:c16="http://schemas.microsoft.com/office/drawing/2014/chart" uri="{C3380CC4-5D6E-409C-BE32-E72D297353CC}">
              <c16:uniqueId val="{00000000-E34C-41C9-8AE8-5E7FF766B703}"/>
            </c:ext>
          </c:extLst>
        </c:ser>
        <c:dLbls>
          <c:dLblPos val="ctr"/>
          <c:showLegendKey val="0"/>
          <c:showVal val="1"/>
          <c:showCatName val="0"/>
          <c:showSerName val="0"/>
          <c:showPercent val="0"/>
          <c:showBubbleSize val="0"/>
          <c:showLeaderLines val="1"/>
        </c:dLbls>
        <c:firstSliceAng val="17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[Patient_Data.xlsx]pivot!PivotTable3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pivot!$J$2</c:f>
              <c:strCache>
                <c:ptCount val="1"/>
                <c:pt idx="0">
                  <c:v>Total</c:v>
                </c:pt>
              </c:strCache>
            </c:strRef>
          </c:tx>
          <c:spPr>
            <a:ln w="28575" cap="rnd">
              <a:solidFill>
                <a:schemeClr val="accent1"/>
              </a:solidFill>
              <a:round/>
            </a:ln>
            <a:effectLst/>
          </c:spPr>
          <c:marker>
            <c:symbol val="none"/>
          </c:marker>
          <c:cat>
            <c:multiLvlStrRef>
              <c:f>pivot!$I$3:$I$27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pivot!$J$3:$J$27</c:f>
              <c:numCache>
                <c:formatCode>General</c:formatCode>
                <c:ptCount val="12"/>
                <c:pt idx="0">
                  <c:v>25750</c:v>
                </c:pt>
                <c:pt idx="1">
                  <c:v>25083</c:v>
                </c:pt>
                <c:pt idx="2">
                  <c:v>26978</c:v>
                </c:pt>
                <c:pt idx="3">
                  <c:v>30955</c:v>
                </c:pt>
                <c:pt idx="4">
                  <c:v>28349</c:v>
                </c:pt>
                <c:pt idx="5">
                  <c:v>30787</c:v>
                </c:pt>
                <c:pt idx="6">
                  <c:v>24811</c:v>
                </c:pt>
                <c:pt idx="7">
                  <c:v>24127</c:v>
                </c:pt>
                <c:pt idx="8">
                  <c:v>25930</c:v>
                </c:pt>
                <c:pt idx="9">
                  <c:v>23623</c:v>
                </c:pt>
                <c:pt idx="10">
                  <c:v>26824</c:v>
                </c:pt>
                <c:pt idx="11">
                  <c:v>30030</c:v>
                </c:pt>
              </c:numCache>
            </c:numRef>
          </c:val>
          <c:smooth val="0"/>
          <c:extLst>
            <c:ext xmlns:c16="http://schemas.microsoft.com/office/drawing/2014/chart" uri="{C3380CC4-5D6E-409C-BE32-E72D297353CC}">
              <c16:uniqueId val="{00000000-77E4-4922-A267-2FF9D0518496}"/>
            </c:ext>
          </c:extLst>
        </c:ser>
        <c:dLbls>
          <c:showLegendKey val="0"/>
          <c:showVal val="0"/>
          <c:showCatName val="0"/>
          <c:showSerName val="0"/>
          <c:showPercent val="0"/>
          <c:showBubbleSize val="0"/>
        </c:dLbls>
        <c:smooth val="0"/>
        <c:axId val="927953424"/>
        <c:axId val="927959664"/>
      </c:lineChart>
      <c:catAx>
        <c:axId val="92795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959664"/>
        <c:crosses val="autoZero"/>
        <c:auto val="1"/>
        <c:lblAlgn val="ctr"/>
        <c:lblOffset val="100"/>
        <c:noMultiLvlLbl val="0"/>
      </c:catAx>
      <c:valAx>
        <c:axId val="92795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95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solidFill>
                  <a:schemeClr val="tx1"/>
                </a:solidFill>
              </a:rPr>
              <a:t>Monthly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dLblPos val="outEnd"/>
          <c:showLegendKey val="0"/>
          <c:showVal val="1"/>
          <c:showCatName val="0"/>
          <c:showSerName val="0"/>
          <c:showPercent val="0"/>
          <c:showBubbleSize val="0"/>
        </c:dLbls>
        <c:gapWidth val="219"/>
        <c:overlap val="-27"/>
        <c:axId val="587993743"/>
        <c:axId val="587994223"/>
      </c:barChart>
      <c:catAx>
        <c:axId val="587993743"/>
        <c:scaling>
          <c:orientation val="minMax"/>
        </c:scaling>
        <c:delete val="0"/>
        <c:axPos val="b"/>
        <c:numFmt formatCode="General" sourceLinked="1"/>
        <c:majorTickMark val="out"/>
        <c:minorTickMark val="none"/>
        <c:tickLblPos val="nextTo"/>
        <c:spPr>
          <a:noFill/>
          <a:ln w="9525" cap="flat" cmpd="sng" algn="ctr">
            <a:no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7994223"/>
        <c:crosses val="autoZero"/>
        <c:auto val="1"/>
        <c:lblAlgn val="ctr"/>
        <c:lblOffset val="100"/>
        <c:noMultiLvlLbl val="0"/>
      </c:catAx>
      <c:valAx>
        <c:axId val="58799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799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solidFill>
                  <a:schemeClr val="tx1"/>
                </a:solidFill>
              </a:rPr>
              <a:t>Yearly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844685952"/>
        <c:axId val="942374496"/>
      </c:lineChart>
      <c:catAx>
        <c:axId val="84468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2374496"/>
        <c:crosses val="autoZero"/>
        <c:auto val="1"/>
        <c:lblAlgn val="ctr"/>
        <c:lblOffset val="100"/>
        <c:noMultiLvlLbl val="0"/>
      </c:catAx>
      <c:valAx>
        <c:axId val="94237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468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[Patient_Data.xlsx]pivot!PivotTable2</c:name>
    <c:fmtId val="1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Yearly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pivot!$A$3:$A$8</c:f>
              <c:strCache>
                <c:ptCount val="5"/>
                <c:pt idx="0">
                  <c:v>2021-22</c:v>
                </c:pt>
                <c:pt idx="1">
                  <c:v>2022-23</c:v>
                </c:pt>
                <c:pt idx="2">
                  <c:v>2023-24</c:v>
                </c:pt>
                <c:pt idx="3">
                  <c:v>2024-25</c:v>
                </c:pt>
                <c:pt idx="4">
                  <c:v>2025-26</c:v>
                </c:pt>
              </c:strCache>
            </c:strRef>
          </c:cat>
          <c:val>
            <c:numRef>
              <c:f>pivot!$B$3:$B$8</c:f>
              <c:numCache>
                <c:formatCode>General</c:formatCode>
                <c:ptCount val="5"/>
                <c:pt idx="0">
                  <c:v>61589</c:v>
                </c:pt>
                <c:pt idx="1">
                  <c:v>65550</c:v>
                </c:pt>
                <c:pt idx="2">
                  <c:v>66359</c:v>
                </c:pt>
                <c:pt idx="3">
                  <c:v>66973</c:v>
                </c:pt>
                <c:pt idx="4">
                  <c:v>62776</c:v>
                </c:pt>
              </c:numCache>
            </c:numRef>
          </c:val>
          <c:extLst>
            <c:ext xmlns:c16="http://schemas.microsoft.com/office/drawing/2014/chart" uri="{C3380CC4-5D6E-409C-BE32-E72D297353CC}">
              <c16:uniqueId val="{00000000-CEB2-48CF-86AA-A39AD4C1CD03}"/>
            </c:ext>
          </c:extLst>
        </c:ser>
        <c:dLbls>
          <c:dLblPos val="outEnd"/>
          <c:showLegendKey val="0"/>
          <c:showVal val="1"/>
          <c:showCatName val="0"/>
          <c:showSerName val="0"/>
          <c:showPercent val="0"/>
          <c:showBubbleSize val="0"/>
        </c:dLbls>
        <c:gapWidth val="219"/>
        <c:overlap val="-27"/>
        <c:axId val="966562784"/>
        <c:axId val="966564704"/>
      </c:barChart>
      <c:catAx>
        <c:axId val="96656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66564704"/>
        <c:crosses val="autoZero"/>
        <c:auto val="1"/>
        <c:lblAlgn val="ctr"/>
        <c:lblOffset val="100"/>
        <c:noMultiLvlLbl val="0"/>
      </c:catAx>
      <c:valAx>
        <c:axId val="96656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6656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[Patient_Data.xlsx]pivot!PivotTable3</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Monthly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pivot!$I$3:$I$27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pivot!$J$3:$J$27</c:f>
              <c:numCache>
                <c:formatCode>General</c:formatCode>
                <c:ptCount val="12"/>
                <c:pt idx="0">
                  <c:v>25750</c:v>
                </c:pt>
                <c:pt idx="1">
                  <c:v>25083</c:v>
                </c:pt>
                <c:pt idx="2">
                  <c:v>26978</c:v>
                </c:pt>
                <c:pt idx="3">
                  <c:v>30955</c:v>
                </c:pt>
                <c:pt idx="4">
                  <c:v>28349</c:v>
                </c:pt>
                <c:pt idx="5">
                  <c:v>30787</c:v>
                </c:pt>
                <c:pt idx="6">
                  <c:v>24811</c:v>
                </c:pt>
                <c:pt idx="7">
                  <c:v>24127</c:v>
                </c:pt>
                <c:pt idx="8">
                  <c:v>25930</c:v>
                </c:pt>
                <c:pt idx="9">
                  <c:v>23623</c:v>
                </c:pt>
                <c:pt idx="10">
                  <c:v>26824</c:v>
                </c:pt>
                <c:pt idx="11">
                  <c:v>30030</c:v>
                </c:pt>
              </c:numCache>
            </c:numRef>
          </c:val>
          <c:smooth val="0"/>
          <c:extLst>
            <c:ext xmlns:c16="http://schemas.microsoft.com/office/drawing/2014/chart" uri="{C3380CC4-5D6E-409C-BE32-E72D297353CC}">
              <c16:uniqueId val="{00000000-8696-443C-9FFA-C5DB21F8E910}"/>
            </c:ext>
          </c:extLst>
        </c:ser>
        <c:dLbls>
          <c:dLblPos val="t"/>
          <c:showLegendKey val="0"/>
          <c:showVal val="1"/>
          <c:showCatName val="0"/>
          <c:showSerName val="0"/>
          <c:showPercent val="0"/>
          <c:showBubbleSize val="0"/>
        </c:dLbls>
        <c:smooth val="0"/>
        <c:axId val="927953424"/>
        <c:axId val="927959664"/>
      </c:lineChart>
      <c:catAx>
        <c:axId val="92795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927959664"/>
        <c:crosses val="autoZero"/>
        <c:auto val="1"/>
        <c:lblAlgn val="ctr"/>
        <c:lblOffset val="100"/>
        <c:noMultiLvlLbl val="0"/>
      </c:catAx>
      <c:valAx>
        <c:axId val="92795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2795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[Patient_Data.xlsx]pivot!PivotTable4</c:name>
    <c:fmtId val="17"/>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Yearly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3194076-FE36-49B5-A89E-399F3AB87618}"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948451F-CA70-402F-9A25-0B44B429681C}"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lumMod val="60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B66944A-4A35-4E9D-A6B8-DE070B5994E7}"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4"/>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02515AC-CC87-4B67-B8A8-FB3086B09210}"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2">
              <a:lumMod val="60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5DC5A2E-7F89-4726-8ABC-FBABD0660F14}"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lumMod val="60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659FCC0-225B-4D16-9C73-BA8152AD8216}"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5"/>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BFBDC49-E6E9-4E16-B629-6F34703EFCB5}"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3"/>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43F5F14-0A1E-48BB-8984-F56FDDC88B7E}"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6"/>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A643519-0D69-42E1-BD7A-8D262401441B}"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3194076-FE36-49B5-A89E-399F3AB87618}"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948451F-CA70-402F-9A25-0B44B429681C}"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43F5F14-0A1E-48BB-8984-F56FDDC88B7E}"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02515AC-CC87-4B67-B8A8-FB3086B09210}"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BFBDC49-E6E9-4E16-B629-6F34703EFCB5}"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A643519-0D69-42E1-BD7A-8D262401441B}"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659FCC0-225B-4D16-9C73-BA8152AD8216}"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5DC5A2E-7F89-4726-8ABC-FBABD0660F14}"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B66944A-4A35-4E9D-A6B8-DE070B5994E7}"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3194076-FE36-49B5-A89E-399F3AB87618}"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948451F-CA70-402F-9A25-0B44B429681C}"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43F5F14-0A1E-48BB-8984-F56FDDC88B7E}"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02515AC-CC87-4B67-B8A8-FB3086B09210}"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BFBDC49-E6E9-4E16-B629-6F34703EFCB5}"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A643519-0D69-42E1-BD7A-8D262401441B}"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659FCC0-225B-4D16-9C73-BA8152AD8216}"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5DC5A2E-7F89-4726-8ABC-FBABD0660F14}"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B66944A-4A35-4E9D-A6B8-DE070B5994E7}"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pivot!$B$37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F6-4E4F-9993-1197773B170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F6-4E4F-9993-1197773B170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F6-4E4F-9993-1197773B170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EF6-4E4F-9993-1197773B170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EF6-4E4F-9993-1197773B170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EF6-4E4F-9993-1197773B170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EF6-4E4F-9993-1197773B170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EF6-4E4F-9993-1197773B170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EF6-4E4F-9993-1197773B170B}"/>
              </c:ext>
            </c:extLst>
          </c:dPt>
          <c:dLbls>
            <c:dLbl>
              <c:idx val="0"/>
              <c:tx>
                <c:rich>
                  <a:bodyPr/>
                  <a:lstStyle/>
                  <a:p>
                    <a:fld id="{63194076-FE36-49B5-A89E-399F3AB87618}" type="PERCENTAGE">
                      <a:rPr lang="en-US" baseline="0"/>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EF6-4E4F-9993-1197773B170B}"/>
                </c:ext>
              </c:extLst>
            </c:dLbl>
            <c:dLbl>
              <c:idx val="1"/>
              <c:tx>
                <c:rich>
                  <a:bodyPr/>
                  <a:lstStyle/>
                  <a:p>
                    <a:fld id="{E948451F-CA70-402F-9A25-0B44B429681C}" type="PERCENTAGE">
                      <a:rPr lang="en-US" baseline="0"/>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EF6-4E4F-9993-1197773B170B}"/>
                </c:ext>
              </c:extLst>
            </c:dLbl>
            <c:dLbl>
              <c:idx val="2"/>
              <c:tx>
                <c:rich>
                  <a:bodyPr/>
                  <a:lstStyle/>
                  <a:p>
                    <a:fld id="{C43F5F14-0A1E-48BB-8984-F56FDDC88B7E}" type="PERCENTAGE">
                      <a:rPr lang="en-US" baseline="0"/>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EF6-4E4F-9993-1197773B170B}"/>
                </c:ext>
              </c:extLst>
            </c:dLbl>
            <c:dLbl>
              <c:idx val="3"/>
              <c:tx>
                <c:rich>
                  <a:bodyPr/>
                  <a:lstStyle/>
                  <a:p>
                    <a:fld id="{E02515AC-CC87-4B67-B8A8-FB3086B09210}" type="PERCENTAGE">
                      <a:rPr lang="en-US" baseline="0"/>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EF6-4E4F-9993-1197773B170B}"/>
                </c:ext>
              </c:extLst>
            </c:dLbl>
            <c:dLbl>
              <c:idx val="4"/>
              <c:tx>
                <c:rich>
                  <a:bodyPr/>
                  <a:lstStyle/>
                  <a:p>
                    <a:fld id="{CBFBDC49-E6E9-4E16-B629-6F34703EFCB5}" type="PERCENTAGE">
                      <a:rPr lang="en-US" baseline="0"/>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6EF6-4E4F-9993-1197773B170B}"/>
                </c:ext>
              </c:extLst>
            </c:dLbl>
            <c:dLbl>
              <c:idx val="5"/>
              <c:tx>
                <c:rich>
                  <a:bodyPr/>
                  <a:lstStyle/>
                  <a:p>
                    <a:fld id="{EA643519-0D69-42E1-BD7A-8D262401441B}" type="PERCENTAGE">
                      <a:rPr lang="en-US" baseline="0"/>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6EF6-4E4F-9993-1197773B170B}"/>
                </c:ext>
              </c:extLst>
            </c:dLbl>
            <c:dLbl>
              <c:idx val="6"/>
              <c:tx>
                <c:rich>
                  <a:bodyPr/>
                  <a:lstStyle/>
                  <a:p>
                    <a:fld id="{C659FCC0-225B-4D16-9C73-BA8152AD8216}" type="PERCENTAGE">
                      <a:rPr lang="en-US" baseline="0"/>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6EF6-4E4F-9993-1197773B170B}"/>
                </c:ext>
              </c:extLst>
            </c:dLbl>
            <c:dLbl>
              <c:idx val="7"/>
              <c:tx>
                <c:rich>
                  <a:bodyPr/>
                  <a:lstStyle/>
                  <a:p>
                    <a:fld id="{A5DC5A2E-7F89-4726-8ABC-FBABD0660F14}" type="PERCENTAGE">
                      <a:rPr lang="en-US" baseline="0"/>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6EF6-4E4F-9993-1197773B170B}"/>
                </c:ext>
              </c:extLst>
            </c:dLbl>
            <c:dLbl>
              <c:idx val="8"/>
              <c:tx>
                <c:rich>
                  <a:bodyPr/>
                  <a:lstStyle/>
                  <a:p>
                    <a:fld id="{9B66944A-4A35-4E9D-A6B8-DE070B5994E7}" type="PERCENTAGE">
                      <a:rPr lang="en-US" baseline="0"/>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6EF6-4E4F-9993-1197773B170B}"/>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pivot!$A$38:$A$47</c:f>
              <c:strCache>
                <c:ptCount val="9"/>
                <c:pt idx="0">
                  <c:v>Pathology</c:v>
                </c:pt>
                <c:pt idx="1">
                  <c:v>Sonography</c:v>
                </c:pt>
                <c:pt idx="2">
                  <c:v>X-ray</c:v>
                </c:pt>
                <c:pt idx="3">
                  <c:v>Dental</c:v>
                </c:pt>
                <c:pt idx="4">
                  <c:v>Body Checkup</c:v>
                </c:pt>
                <c:pt idx="5">
                  <c:v>2D Echo</c:v>
                </c:pt>
                <c:pt idx="6">
                  <c:v>Doppler</c:v>
                </c:pt>
                <c:pt idx="7">
                  <c:v>Mamo</c:v>
                </c:pt>
                <c:pt idx="8">
                  <c:v>TMT</c:v>
                </c:pt>
              </c:strCache>
            </c:strRef>
          </c:cat>
          <c:val>
            <c:numRef>
              <c:f>pivot!$B$38:$B$47</c:f>
              <c:numCache>
                <c:formatCode>General</c:formatCode>
                <c:ptCount val="9"/>
                <c:pt idx="0">
                  <c:v>173684</c:v>
                </c:pt>
                <c:pt idx="1">
                  <c:v>53390</c:v>
                </c:pt>
                <c:pt idx="2">
                  <c:v>37851</c:v>
                </c:pt>
                <c:pt idx="3">
                  <c:v>25327</c:v>
                </c:pt>
                <c:pt idx="4">
                  <c:v>20160</c:v>
                </c:pt>
                <c:pt idx="5">
                  <c:v>7406</c:v>
                </c:pt>
                <c:pt idx="6">
                  <c:v>2983</c:v>
                </c:pt>
                <c:pt idx="7">
                  <c:v>1538</c:v>
                </c:pt>
                <c:pt idx="8">
                  <c:v>908</c:v>
                </c:pt>
              </c:numCache>
            </c:numRef>
          </c:val>
          <c:extLst>
            <c:ext xmlns:c16="http://schemas.microsoft.com/office/drawing/2014/chart" uri="{C3380CC4-5D6E-409C-BE32-E72D297353CC}">
              <c16:uniqueId val="{00000012-6EF6-4E4F-9993-1197773B170B}"/>
            </c:ext>
          </c:extLst>
        </c:ser>
        <c:dLbls>
          <c:dLblPos val="ctr"/>
          <c:showLegendKey val="0"/>
          <c:showVal val="1"/>
          <c:showCatName val="0"/>
          <c:showSerName val="0"/>
          <c:showPercent val="0"/>
          <c:showBubbleSize val="0"/>
          <c:showLeaderLines val="1"/>
        </c:dLbls>
        <c:firstSliceAng val="17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tx1">
          <a:lumMod val="65000"/>
          <a:lumOff val="35000"/>
        </a:schemeClr>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[Patient_Data.xlsx]Sonography_pivot!PivotTable15</c:name>
    <c:fmtId val="13"/>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IN" sz="1200" b="1">
                <a:solidFill>
                  <a:schemeClr val="tx1"/>
                </a:solidFill>
              </a:rPr>
              <a:t>Yearly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Sonography_pivot!$B$2</c:f>
              <c:strCache>
                <c:ptCount val="1"/>
                <c:pt idx="0">
                  <c:v>kjss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Sonography_pivot!$A$3:$A$8</c:f>
              <c:strCache>
                <c:ptCount val="5"/>
                <c:pt idx="0">
                  <c:v>2021-22</c:v>
                </c:pt>
                <c:pt idx="1">
                  <c:v>2022-23</c:v>
                </c:pt>
                <c:pt idx="2">
                  <c:v>2023-24</c:v>
                </c:pt>
                <c:pt idx="3">
                  <c:v>2024-25</c:v>
                </c:pt>
                <c:pt idx="4">
                  <c:v>2025-26</c:v>
                </c:pt>
              </c:strCache>
            </c:strRef>
          </c:cat>
          <c:val>
            <c:numRef>
              <c:f>Sonography_pivot!$B$3:$B$8</c:f>
              <c:numCache>
                <c:formatCode>General</c:formatCode>
                <c:ptCount val="5"/>
                <c:pt idx="0">
                  <c:v>166</c:v>
                </c:pt>
                <c:pt idx="1">
                  <c:v>227</c:v>
                </c:pt>
                <c:pt idx="2">
                  <c:v>219</c:v>
                </c:pt>
                <c:pt idx="3">
                  <c:v>168</c:v>
                </c:pt>
                <c:pt idx="4">
                  <c:v>203</c:v>
                </c:pt>
              </c:numCache>
            </c:numRef>
          </c:val>
          <c:extLst>
            <c:ext xmlns:c16="http://schemas.microsoft.com/office/drawing/2014/chart" uri="{C3380CC4-5D6E-409C-BE32-E72D297353CC}">
              <c16:uniqueId val="{00000000-ECA2-4CB6-B265-F44A4AE9D573}"/>
            </c:ext>
          </c:extLst>
        </c:ser>
        <c:ser>
          <c:idx val="1"/>
          <c:order val="1"/>
          <c:tx>
            <c:strRef>
              <c:f>Sonography_pivot!$C$2</c:f>
              <c:strCache>
                <c:ptCount val="1"/>
                <c:pt idx="0">
                  <c:v>non kjss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Sonography_pivot!$A$3:$A$8</c:f>
              <c:strCache>
                <c:ptCount val="5"/>
                <c:pt idx="0">
                  <c:v>2021-22</c:v>
                </c:pt>
                <c:pt idx="1">
                  <c:v>2022-23</c:v>
                </c:pt>
                <c:pt idx="2">
                  <c:v>2023-24</c:v>
                </c:pt>
                <c:pt idx="3">
                  <c:v>2024-25</c:v>
                </c:pt>
                <c:pt idx="4">
                  <c:v>2025-26</c:v>
                </c:pt>
              </c:strCache>
            </c:strRef>
          </c:cat>
          <c:val>
            <c:numRef>
              <c:f>Sonography_pivot!$C$3:$C$8</c:f>
              <c:numCache>
                <c:formatCode>General</c:formatCode>
                <c:ptCount val="5"/>
                <c:pt idx="0">
                  <c:v>10735</c:v>
                </c:pt>
                <c:pt idx="1">
                  <c:v>10574</c:v>
                </c:pt>
                <c:pt idx="2">
                  <c:v>10727</c:v>
                </c:pt>
                <c:pt idx="3">
                  <c:v>10354</c:v>
                </c:pt>
                <c:pt idx="4">
                  <c:v>10017</c:v>
                </c:pt>
              </c:numCache>
            </c:numRef>
          </c:val>
          <c:extLst>
            <c:ext xmlns:c16="http://schemas.microsoft.com/office/drawing/2014/chart" uri="{C3380CC4-5D6E-409C-BE32-E72D297353CC}">
              <c16:uniqueId val="{00000003-ECA2-4CB6-B265-F44A4AE9D573}"/>
            </c:ext>
          </c:extLst>
        </c:ser>
        <c:dLbls>
          <c:dLblPos val="outEnd"/>
          <c:showLegendKey val="0"/>
          <c:showVal val="1"/>
          <c:showCatName val="0"/>
          <c:showSerName val="0"/>
          <c:showPercent val="0"/>
          <c:showBubbleSize val="0"/>
        </c:dLbls>
        <c:gapWidth val="219"/>
        <c:overlap val="-27"/>
        <c:axId val="1112406095"/>
        <c:axId val="1112404175"/>
      </c:barChart>
      <c:catAx>
        <c:axId val="111240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404175"/>
        <c:crosses val="autoZero"/>
        <c:auto val="1"/>
        <c:lblAlgn val="ctr"/>
        <c:lblOffset val="100"/>
        <c:noMultiLvlLbl val="0"/>
      </c:catAx>
      <c:valAx>
        <c:axId val="111240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40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[Patient_Data.xlsx]Sonography_pivot!PivotTable16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Monthly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Sonography_pivot!$G$2</c:f>
              <c:strCache>
                <c:ptCount val="1"/>
                <c:pt idx="0">
                  <c:v>kjss count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Sonography_pivot!$F$3:$F$27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Sonography_pivot!$G$3:$G$27</c:f>
              <c:numCache>
                <c:formatCode>General</c:formatCode>
                <c:ptCount val="12"/>
                <c:pt idx="0">
                  <c:v>78</c:v>
                </c:pt>
                <c:pt idx="1">
                  <c:v>96</c:v>
                </c:pt>
                <c:pt idx="2">
                  <c:v>84</c:v>
                </c:pt>
                <c:pt idx="3">
                  <c:v>85</c:v>
                </c:pt>
                <c:pt idx="4">
                  <c:v>87</c:v>
                </c:pt>
                <c:pt idx="5">
                  <c:v>96</c:v>
                </c:pt>
                <c:pt idx="6">
                  <c:v>77</c:v>
                </c:pt>
                <c:pt idx="7">
                  <c:v>86</c:v>
                </c:pt>
                <c:pt idx="8">
                  <c:v>89</c:v>
                </c:pt>
                <c:pt idx="9">
                  <c:v>63</c:v>
                </c:pt>
                <c:pt idx="10">
                  <c:v>64</c:v>
                </c:pt>
                <c:pt idx="11">
                  <c:v>78</c:v>
                </c:pt>
              </c:numCache>
            </c:numRef>
          </c:val>
          <c:smooth val="0"/>
          <c:extLst>
            <c:ext xmlns:c16="http://schemas.microsoft.com/office/drawing/2014/chart" uri="{C3380CC4-5D6E-409C-BE32-E72D297353CC}">
              <c16:uniqueId val="{00000000-D624-412F-98B8-411ECB8EC784}"/>
            </c:ext>
          </c:extLst>
        </c:ser>
        <c:ser>
          <c:idx val="1"/>
          <c:order val="1"/>
          <c:tx>
            <c:strRef>
              <c:f>Sonography_pivot!$H$2</c:f>
              <c:strCache>
                <c:ptCount val="1"/>
                <c:pt idx="0">
                  <c:v>non kjss count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Sonography_pivot!$F$3:$F$27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Sonography_pivot!$H$3:$H$27</c:f>
              <c:numCache>
                <c:formatCode>General</c:formatCode>
                <c:ptCount val="12"/>
                <c:pt idx="0">
                  <c:v>4466</c:v>
                </c:pt>
                <c:pt idx="1">
                  <c:v>4345</c:v>
                </c:pt>
                <c:pt idx="2">
                  <c:v>4899</c:v>
                </c:pt>
                <c:pt idx="3">
                  <c:v>5123</c:v>
                </c:pt>
                <c:pt idx="4">
                  <c:v>4646</c:v>
                </c:pt>
                <c:pt idx="5">
                  <c:v>4761</c:v>
                </c:pt>
                <c:pt idx="6">
                  <c:v>3706</c:v>
                </c:pt>
                <c:pt idx="7">
                  <c:v>3814</c:v>
                </c:pt>
                <c:pt idx="8">
                  <c:v>4337</c:v>
                </c:pt>
                <c:pt idx="9">
                  <c:v>3880</c:v>
                </c:pt>
                <c:pt idx="10">
                  <c:v>4053</c:v>
                </c:pt>
                <c:pt idx="11">
                  <c:v>4377</c:v>
                </c:pt>
              </c:numCache>
            </c:numRef>
          </c:val>
          <c:smooth val="0"/>
          <c:extLst>
            <c:ext xmlns:c16="http://schemas.microsoft.com/office/drawing/2014/chart" uri="{C3380CC4-5D6E-409C-BE32-E72D297353CC}">
              <c16:uniqueId val="{00000001-D624-412F-98B8-411ECB8EC784}"/>
            </c:ext>
          </c:extLst>
        </c:ser>
        <c:dLbls>
          <c:dLblPos val="t"/>
          <c:showLegendKey val="0"/>
          <c:showVal val="1"/>
          <c:showCatName val="0"/>
          <c:showSerName val="0"/>
          <c:showPercent val="0"/>
          <c:showBubbleSize val="0"/>
        </c:dLbls>
        <c:smooth val="0"/>
        <c:axId val="1154532927"/>
        <c:axId val="1154533407"/>
      </c:lineChart>
      <c:catAx>
        <c:axId val="115453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33407"/>
        <c:crosses val="autoZero"/>
        <c:auto val="1"/>
        <c:lblAlgn val="ctr"/>
        <c:lblOffset val="100"/>
        <c:noMultiLvlLbl val="0"/>
      </c:catAx>
      <c:valAx>
        <c:axId val="115453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3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wordArtVert"/>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[Patient_Data.xlsx]Sonography_pivot!PivotTable19</c:name>
    <c:fmtId val="1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Sonography_pivot!$C$40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ED-47A2-9FCF-BAE10A3F3F8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ED-47A2-9FCF-BAE10A3F3F8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Sonography_pivot!$B$41:$B$43</c:f>
              <c:strCache>
                <c:ptCount val="2"/>
                <c:pt idx="0">
                  <c:v>kjss</c:v>
                </c:pt>
                <c:pt idx="1">
                  <c:v>non kjss</c:v>
                </c:pt>
              </c:strCache>
            </c:strRef>
          </c:cat>
          <c:val>
            <c:numRef>
              <c:f>Sonography_pivot!$C$41:$C$43</c:f>
              <c:numCache>
                <c:formatCode>General</c:formatCode>
                <c:ptCount val="2"/>
                <c:pt idx="0">
                  <c:v>983</c:v>
                </c:pt>
                <c:pt idx="1">
                  <c:v>52407</c:v>
                </c:pt>
              </c:numCache>
            </c:numRef>
          </c:val>
          <c:extLst>
            <c:ext xmlns:c16="http://schemas.microsoft.com/office/drawing/2014/chart" uri="{C3380CC4-5D6E-409C-BE32-E72D297353CC}">
              <c16:uniqueId val="{00000000-BFEC-46BB-8F89-9EF17E38B6D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[Patient_Data.xlsx]Sonography_pivot!PivotTable15</c:name>
    <c:fmtId val="18"/>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IN" sz="1100"/>
              <a:t>Yearly</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Sonography_pivot!$B$2</c:f>
              <c:strCache>
                <c:ptCount val="1"/>
                <c:pt idx="0">
                  <c:v>kjss count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Sonography_pivot!$A$3:$A$8</c:f>
              <c:strCache>
                <c:ptCount val="5"/>
                <c:pt idx="0">
                  <c:v>2021-22</c:v>
                </c:pt>
                <c:pt idx="1">
                  <c:v>2022-23</c:v>
                </c:pt>
                <c:pt idx="2">
                  <c:v>2023-24</c:v>
                </c:pt>
                <c:pt idx="3">
                  <c:v>2024-25</c:v>
                </c:pt>
                <c:pt idx="4">
                  <c:v>2025-26</c:v>
                </c:pt>
              </c:strCache>
            </c:strRef>
          </c:cat>
          <c:val>
            <c:numRef>
              <c:f>Sonography_pivot!$B$3:$B$8</c:f>
              <c:numCache>
                <c:formatCode>General</c:formatCode>
                <c:ptCount val="5"/>
                <c:pt idx="0">
                  <c:v>166</c:v>
                </c:pt>
                <c:pt idx="1">
                  <c:v>227</c:v>
                </c:pt>
                <c:pt idx="2">
                  <c:v>219</c:v>
                </c:pt>
                <c:pt idx="3">
                  <c:v>168</c:v>
                </c:pt>
                <c:pt idx="4">
                  <c:v>203</c:v>
                </c:pt>
              </c:numCache>
            </c:numRef>
          </c:val>
          <c:extLst>
            <c:ext xmlns:c16="http://schemas.microsoft.com/office/drawing/2014/chart" uri="{C3380CC4-5D6E-409C-BE32-E72D297353CC}">
              <c16:uniqueId val="{00000000-A421-4DA7-A70D-7CA272A065E4}"/>
            </c:ext>
          </c:extLst>
        </c:ser>
        <c:ser>
          <c:idx val="1"/>
          <c:order val="1"/>
          <c:tx>
            <c:strRef>
              <c:f>Sonography_pivot!$C$2</c:f>
              <c:strCache>
                <c:ptCount val="1"/>
                <c:pt idx="0">
                  <c:v>non kjss count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Sonography_pivot!$A$3:$A$8</c:f>
              <c:strCache>
                <c:ptCount val="5"/>
                <c:pt idx="0">
                  <c:v>2021-22</c:v>
                </c:pt>
                <c:pt idx="1">
                  <c:v>2022-23</c:v>
                </c:pt>
                <c:pt idx="2">
                  <c:v>2023-24</c:v>
                </c:pt>
                <c:pt idx="3">
                  <c:v>2024-25</c:v>
                </c:pt>
                <c:pt idx="4">
                  <c:v>2025-26</c:v>
                </c:pt>
              </c:strCache>
            </c:strRef>
          </c:cat>
          <c:val>
            <c:numRef>
              <c:f>Sonography_pivot!$C$3:$C$8</c:f>
              <c:numCache>
                <c:formatCode>General</c:formatCode>
                <c:ptCount val="5"/>
                <c:pt idx="0">
                  <c:v>10735</c:v>
                </c:pt>
                <c:pt idx="1">
                  <c:v>10574</c:v>
                </c:pt>
                <c:pt idx="2">
                  <c:v>10727</c:v>
                </c:pt>
                <c:pt idx="3">
                  <c:v>10354</c:v>
                </c:pt>
                <c:pt idx="4">
                  <c:v>10017</c:v>
                </c:pt>
              </c:numCache>
            </c:numRef>
          </c:val>
          <c:extLst>
            <c:ext xmlns:c16="http://schemas.microsoft.com/office/drawing/2014/chart" uri="{C3380CC4-5D6E-409C-BE32-E72D297353CC}">
              <c16:uniqueId val="{00000001-A421-4DA7-A70D-7CA272A065E4}"/>
            </c:ext>
          </c:extLst>
        </c:ser>
        <c:dLbls>
          <c:dLblPos val="outEnd"/>
          <c:showLegendKey val="0"/>
          <c:showVal val="1"/>
          <c:showCatName val="0"/>
          <c:showSerName val="0"/>
          <c:showPercent val="0"/>
          <c:showBubbleSize val="0"/>
        </c:dLbls>
        <c:gapWidth val="219"/>
        <c:overlap val="-27"/>
        <c:axId val="1112406095"/>
        <c:axId val="1112404175"/>
      </c:barChart>
      <c:catAx>
        <c:axId val="111240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2404175"/>
        <c:crosses val="autoZero"/>
        <c:auto val="1"/>
        <c:lblAlgn val="ctr"/>
        <c:lblOffset val="100"/>
        <c:noMultiLvlLbl val="0"/>
      </c:catAx>
      <c:valAx>
        <c:axId val="111240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240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[Patient_Data.xlsx]Sonography_pivot!PivotTable16</c:name>
    <c:fmtId val="3"/>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IN" sz="1100"/>
              <a:t>Monthly</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Sonography_pivot!$G$2</c:f>
              <c:strCache>
                <c:ptCount val="1"/>
                <c:pt idx="0">
                  <c:v>kjss count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Sonography_pivot!$F$3:$F$27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Sonography_pivot!$G$3:$G$27</c:f>
              <c:numCache>
                <c:formatCode>General</c:formatCode>
                <c:ptCount val="12"/>
                <c:pt idx="0">
                  <c:v>78</c:v>
                </c:pt>
                <c:pt idx="1">
                  <c:v>96</c:v>
                </c:pt>
                <c:pt idx="2">
                  <c:v>84</c:v>
                </c:pt>
                <c:pt idx="3">
                  <c:v>85</c:v>
                </c:pt>
                <c:pt idx="4">
                  <c:v>87</c:v>
                </c:pt>
                <c:pt idx="5">
                  <c:v>96</c:v>
                </c:pt>
                <c:pt idx="6">
                  <c:v>77</c:v>
                </c:pt>
                <c:pt idx="7">
                  <c:v>86</c:v>
                </c:pt>
                <c:pt idx="8">
                  <c:v>89</c:v>
                </c:pt>
                <c:pt idx="9">
                  <c:v>63</c:v>
                </c:pt>
                <c:pt idx="10">
                  <c:v>64</c:v>
                </c:pt>
                <c:pt idx="11">
                  <c:v>78</c:v>
                </c:pt>
              </c:numCache>
            </c:numRef>
          </c:val>
          <c:smooth val="0"/>
          <c:extLst>
            <c:ext xmlns:c16="http://schemas.microsoft.com/office/drawing/2014/chart" uri="{C3380CC4-5D6E-409C-BE32-E72D297353CC}">
              <c16:uniqueId val="{00000000-C5AC-40FD-BB23-5E1C4729D3B2}"/>
            </c:ext>
          </c:extLst>
        </c:ser>
        <c:ser>
          <c:idx val="1"/>
          <c:order val="1"/>
          <c:tx>
            <c:strRef>
              <c:f>Sonography_pivot!$H$2</c:f>
              <c:strCache>
                <c:ptCount val="1"/>
                <c:pt idx="0">
                  <c:v>non kjss count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Sonography_pivot!$F$3:$F$27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Sonography_pivot!$H$3:$H$27</c:f>
              <c:numCache>
                <c:formatCode>General</c:formatCode>
                <c:ptCount val="12"/>
                <c:pt idx="0">
                  <c:v>4466</c:v>
                </c:pt>
                <c:pt idx="1">
                  <c:v>4345</c:v>
                </c:pt>
                <c:pt idx="2">
                  <c:v>4899</c:v>
                </c:pt>
                <c:pt idx="3">
                  <c:v>5123</c:v>
                </c:pt>
                <c:pt idx="4">
                  <c:v>4646</c:v>
                </c:pt>
                <c:pt idx="5">
                  <c:v>4761</c:v>
                </c:pt>
                <c:pt idx="6">
                  <c:v>3706</c:v>
                </c:pt>
                <c:pt idx="7">
                  <c:v>3814</c:v>
                </c:pt>
                <c:pt idx="8">
                  <c:v>4337</c:v>
                </c:pt>
                <c:pt idx="9">
                  <c:v>3880</c:v>
                </c:pt>
                <c:pt idx="10">
                  <c:v>4053</c:v>
                </c:pt>
                <c:pt idx="11">
                  <c:v>4377</c:v>
                </c:pt>
              </c:numCache>
            </c:numRef>
          </c:val>
          <c:smooth val="0"/>
          <c:extLst>
            <c:ext xmlns:c16="http://schemas.microsoft.com/office/drawing/2014/chart" uri="{C3380CC4-5D6E-409C-BE32-E72D297353CC}">
              <c16:uniqueId val="{00000001-C5AC-40FD-BB23-5E1C4729D3B2}"/>
            </c:ext>
          </c:extLst>
        </c:ser>
        <c:dLbls>
          <c:dLblPos val="t"/>
          <c:showLegendKey val="0"/>
          <c:showVal val="1"/>
          <c:showCatName val="0"/>
          <c:showSerName val="0"/>
          <c:showPercent val="0"/>
          <c:showBubbleSize val="0"/>
        </c:dLbls>
        <c:smooth val="0"/>
        <c:axId val="1154532927"/>
        <c:axId val="1154533407"/>
      </c:lineChart>
      <c:catAx>
        <c:axId val="115453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154533407"/>
        <c:crosses val="autoZero"/>
        <c:auto val="1"/>
        <c:lblAlgn val="ctr"/>
        <c:lblOffset val="100"/>
        <c:noMultiLvlLbl val="0"/>
      </c:catAx>
      <c:valAx>
        <c:axId val="115453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453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wordArtVert"/>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[Patient_Data.xlsx]Sonography_pivot!PivotTable19</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BDCE6A8C-D771-454D-A6B6-7A0BD17A815F}"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3F368FD-3D09-4E13-A00E-25FD26389738}"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BDCE6A8C-D771-454D-A6B6-7A0BD17A815F}"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3F368FD-3D09-4E13-A00E-25FD26389738}"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BDCE6A8C-D771-454D-A6B6-7A0BD17A815F}"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3F368FD-3D09-4E13-A00E-25FD26389738}"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Sonography_pivot!$C$40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FF1-447D-AE6C-A08F17814EE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FF1-447D-AE6C-A08F17814EE6}"/>
              </c:ext>
            </c:extLst>
          </c:dPt>
          <c:dLbls>
            <c:dLbl>
              <c:idx val="0"/>
              <c:tx>
                <c:rich>
                  <a:bodyPr/>
                  <a:lstStyle/>
                  <a:p>
                    <a:fld id="{BDCE6A8C-D771-454D-A6B6-7A0BD17A815F}"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FF1-447D-AE6C-A08F17814EE6}"/>
                </c:ext>
              </c:extLst>
            </c:dLbl>
            <c:dLbl>
              <c:idx val="1"/>
              <c:tx>
                <c:rich>
                  <a:bodyPr/>
                  <a:lstStyle/>
                  <a:p>
                    <a:fld id="{23F368FD-3D09-4E13-A00E-25FD26389738}"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FF1-447D-AE6C-A08F17814EE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Sonography_pivot!$B$41:$B$43</c:f>
              <c:strCache>
                <c:ptCount val="2"/>
                <c:pt idx="0">
                  <c:v>kjss</c:v>
                </c:pt>
                <c:pt idx="1">
                  <c:v>non kjss</c:v>
                </c:pt>
              </c:strCache>
            </c:strRef>
          </c:cat>
          <c:val>
            <c:numRef>
              <c:f>Sonography_pivot!$C$41:$C$43</c:f>
              <c:numCache>
                <c:formatCode>General</c:formatCode>
                <c:ptCount val="2"/>
                <c:pt idx="0">
                  <c:v>983</c:v>
                </c:pt>
                <c:pt idx="1">
                  <c:v>52407</c:v>
                </c:pt>
              </c:numCache>
            </c:numRef>
          </c:val>
          <c:extLst>
            <c:ext xmlns:c16="http://schemas.microsoft.com/office/drawing/2014/chart" uri="{C3380CC4-5D6E-409C-BE32-E72D297353CC}">
              <c16:uniqueId val="{00000004-6FF1-447D-AE6C-A08F17814EE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ysClr val="windowText" lastClr="000000">
          <a:lumMod val="75000"/>
          <a:lumOff val="25000"/>
        </a:sysClr>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[Patient_Data.xlsx]Xray_pivot!PivotTable20</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t>Yearly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Xray_pivot!$B$2</c:f>
              <c:strCache>
                <c:ptCount val="1"/>
                <c:pt idx="0">
                  <c:v>kjss count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Xray_pivot!$A$3:$A$8</c:f>
              <c:strCache>
                <c:ptCount val="5"/>
                <c:pt idx="0">
                  <c:v>2021-22</c:v>
                </c:pt>
                <c:pt idx="1">
                  <c:v>2022-23</c:v>
                </c:pt>
                <c:pt idx="2">
                  <c:v>2023-24</c:v>
                </c:pt>
                <c:pt idx="3">
                  <c:v>2024-25</c:v>
                </c:pt>
                <c:pt idx="4">
                  <c:v>2025-26</c:v>
                </c:pt>
              </c:strCache>
            </c:strRef>
          </c:cat>
          <c:val>
            <c:numRef>
              <c:f>Xray_pivot!$B$3:$B$8</c:f>
              <c:numCache>
                <c:formatCode>General</c:formatCode>
                <c:ptCount val="5"/>
                <c:pt idx="0">
                  <c:v>329</c:v>
                </c:pt>
                <c:pt idx="1">
                  <c:v>388</c:v>
                </c:pt>
                <c:pt idx="2">
                  <c:v>446</c:v>
                </c:pt>
                <c:pt idx="3">
                  <c:v>486</c:v>
                </c:pt>
                <c:pt idx="4">
                  <c:v>449</c:v>
                </c:pt>
              </c:numCache>
            </c:numRef>
          </c:val>
          <c:extLst>
            <c:ext xmlns:c16="http://schemas.microsoft.com/office/drawing/2014/chart" uri="{C3380CC4-5D6E-409C-BE32-E72D297353CC}">
              <c16:uniqueId val="{00000000-D37D-415E-AD3A-F2A2E65D98FB}"/>
            </c:ext>
          </c:extLst>
        </c:ser>
        <c:ser>
          <c:idx val="1"/>
          <c:order val="1"/>
          <c:tx>
            <c:strRef>
              <c:f>Xray_pivot!$C$2</c:f>
              <c:strCache>
                <c:ptCount val="1"/>
                <c:pt idx="0">
                  <c:v>non kjss count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Xray_pivot!$A$3:$A$8</c:f>
              <c:strCache>
                <c:ptCount val="5"/>
                <c:pt idx="0">
                  <c:v>2021-22</c:v>
                </c:pt>
                <c:pt idx="1">
                  <c:v>2022-23</c:v>
                </c:pt>
                <c:pt idx="2">
                  <c:v>2023-24</c:v>
                </c:pt>
                <c:pt idx="3">
                  <c:v>2024-25</c:v>
                </c:pt>
                <c:pt idx="4">
                  <c:v>2025-26</c:v>
                </c:pt>
              </c:strCache>
            </c:strRef>
          </c:cat>
          <c:val>
            <c:numRef>
              <c:f>Xray_pivot!$C$3:$C$8</c:f>
              <c:numCache>
                <c:formatCode>General</c:formatCode>
                <c:ptCount val="5"/>
                <c:pt idx="0">
                  <c:v>6933</c:v>
                </c:pt>
                <c:pt idx="1">
                  <c:v>7592</c:v>
                </c:pt>
                <c:pt idx="2">
                  <c:v>7643</c:v>
                </c:pt>
                <c:pt idx="3">
                  <c:v>7100</c:v>
                </c:pt>
                <c:pt idx="4">
                  <c:v>6485</c:v>
                </c:pt>
              </c:numCache>
            </c:numRef>
          </c:val>
          <c:extLst>
            <c:ext xmlns:c16="http://schemas.microsoft.com/office/drawing/2014/chart" uri="{C3380CC4-5D6E-409C-BE32-E72D297353CC}">
              <c16:uniqueId val="{00000001-D37D-415E-AD3A-F2A2E65D98FB}"/>
            </c:ext>
          </c:extLst>
        </c:ser>
        <c:dLbls>
          <c:dLblPos val="outEnd"/>
          <c:showLegendKey val="0"/>
          <c:showVal val="1"/>
          <c:showCatName val="0"/>
          <c:showSerName val="0"/>
          <c:showPercent val="0"/>
          <c:showBubbleSize val="0"/>
        </c:dLbls>
        <c:gapWidth val="219"/>
        <c:overlap val="-27"/>
        <c:axId val="675348447"/>
        <c:axId val="675348927"/>
      </c:barChart>
      <c:catAx>
        <c:axId val="67534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5348927"/>
        <c:crosses val="autoZero"/>
        <c:auto val="1"/>
        <c:lblAlgn val="ctr"/>
        <c:lblOffset val="100"/>
        <c:noMultiLvlLbl val="0"/>
      </c:catAx>
      <c:valAx>
        <c:axId val="67534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534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[Patient_Data.xlsx]Xray_pivot!PivotTable21</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a:t>Monthly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Xray_pivot!$H$2</c:f>
              <c:strCache>
                <c:ptCount val="1"/>
                <c:pt idx="0">
                  <c:v>Sum of kjss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Xray_pivot!$G$3:$G$27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Xray_pivot!$H$3:$H$27</c:f>
              <c:numCache>
                <c:formatCode>General</c:formatCode>
                <c:ptCount val="12"/>
                <c:pt idx="0">
                  <c:v>162</c:v>
                </c:pt>
                <c:pt idx="1">
                  <c:v>178</c:v>
                </c:pt>
                <c:pt idx="2">
                  <c:v>169</c:v>
                </c:pt>
                <c:pt idx="3">
                  <c:v>152</c:v>
                </c:pt>
                <c:pt idx="4">
                  <c:v>141</c:v>
                </c:pt>
                <c:pt idx="5">
                  <c:v>161</c:v>
                </c:pt>
                <c:pt idx="6">
                  <c:v>153</c:v>
                </c:pt>
                <c:pt idx="7">
                  <c:v>150</c:v>
                </c:pt>
                <c:pt idx="8">
                  <c:v>201</c:v>
                </c:pt>
                <c:pt idx="9">
                  <c:v>163</c:v>
                </c:pt>
                <c:pt idx="10">
                  <c:v>216</c:v>
                </c:pt>
                <c:pt idx="11">
                  <c:v>252</c:v>
                </c:pt>
              </c:numCache>
            </c:numRef>
          </c:val>
          <c:smooth val="0"/>
          <c:extLst>
            <c:ext xmlns:c16="http://schemas.microsoft.com/office/drawing/2014/chart" uri="{C3380CC4-5D6E-409C-BE32-E72D297353CC}">
              <c16:uniqueId val="{00000000-E705-48B5-9F28-0CBAE0C6FB2A}"/>
            </c:ext>
          </c:extLst>
        </c:ser>
        <c:ser>
          <c:idx val="1"/>
          <c:order val="1"/>
          <c:tx>
            <c:strRef>
              <c:f>Xray_pivot!$I$2</c:f>
              <c:strCache>
                <c:ptCount val="1"/>
                <c:pt idx="0">
                  <c:v>Sum of non kjss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Xray_pivot!$G$3:$G$27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Xray_pivot!$I$3:$I$27</c:f>
              <c:numCache>
                <c:formatCode>General</c:formatCode>
                <c:ptCount val="12"/>
                <c:pt idx="0">
                  <c:v>2813</c:v>
                </c:pt>
                <c:pt idx="1">
                  <c:v>2654</c:v>
                </c:pt>
                <c:pt idx="2">
                  <c:v>2816</c:v>
                </c:pt>
                <c:pt idx="3">
                  <c:v>3385</c:v>
                </c:pt>
                <c:pt idx="4">
                  <c:v>2960</c:v>
                </c:pt>
                <c:pt idx="5">
                  <c:v>3281</c:v>
                </c:pt>
                <c:pt idx="6">
                  <c:v>2700</c:v>
                </c:pt>
                <c:pt idx="7">
                  <c:v>2818</c:v>
                </c:pt>
                <c:pt idx="8">
                  <c:v>3029</c:v>
                </c:pt>
                <c:pt idx="9">
                  <c:v>2764</c:v>
                </c:pt>
                <c:pt idx="10">
                  <c:v>3181</c:v>
                </c:pt>
                <c:pt idx="11">
                  <c:v>3352</c:v>
                </c:pt>
              </c:numCache>
            </c:numRef>
          </c:val>
          <c:smooth val="0"/>
          <c:extLst>
            <c:ext xmlns:c16="http://schemas.microsoft.com/office/drawing/2014/chart" uri="{C3380CC4-5D6E-409C-BE32-E72D297353CC}">
              <c16:uniqueId val="{00000001-E705-48B5-9F28-0CBAE0C6FB2A}"/>
            </c:ext>
          </c:extLst>
        </c:ser>
        <c:dLbls>
          <c:dLblPos val="t"/>
          <c:showLegendKey val="0"/>
          <c:showVal val="1"/>
          <c:showCatName val="0"/>
          <c:showSerName val="0"/>
          <c:showPercent val="0"/>
          <c:showBubbleSize val="0"/>
        </c:dLbls>
        <c:smooth val="0"/>
        <c:axId val="1196139007"/>
        <c:axId val="1418143951"/>
      </c:lineChart>
      <c:catAx>
        <c:axId val="119613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418143951"/>
        <c:crosses val="autoZero"/>
        <c:auto val="1"/>
        <c:lblAlgn val="ctr"/>
        <c:lblOffset val="100"/>
        <c:noMultiLvlLbl val="0"/>
      </c:catAx>
      <c:valAx>
        <c:axId val="141814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613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[Patient_Data.xlsx]Xray_pivot!PivotTable22</c:name>
    <c:fmtId val="1"/>
  </c:pivotSource>
  <c:chart>
    <c:title>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5B074D4-82AA-4EE1-B287-04ED020FBDF2}"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75457CB-4B33-4BF2-B234-E14CF63B3BA7}"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Xray_pivot!$E$56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F9A-4CFF-B012-B30AE28E5FE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F9A-4CFF-B012-B30AE28E5FE3}"/>
              </c:ext>
            </c:extLst>
          </c:dPt>
          <c:dLbls>
            <c:dLbl>
              <c:idx val="0"/>
              <c:tx>
                <c:rich>
                  <a:bodyPr/>
                  <a:lstStyle/>
                  <a:p>
                    <a:fld id="{F5B074D4-82AA-4EE1-B287-04ED020FBDF2}"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F9A-4CFF-B012-B30AE28E5FE3}"/>
                </c:ext>
              </c:extLst>
            </c:dLbl>
            <c:dLbl>
              <c:idx val="1"/>
              <c:tx>
                <c:rich>
                  <a:bodyPr/>
                  <a:lstStyle/>
                  <a:p>
                    <a:fld id="{F75457CB-4B33-4BF2-B234-E14CF63B3BA7}"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F9A-4CFF-B012-B30AE28E5FE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Xray_pivot!$D$57:$D$59</c:f>
              <c:strCache>
                <c:ptCount val="2"/>
                <c:pt idx="0">
                  <c:v>kjss</c:v>
                </c:pt>
                <c:pt idx="1">
                  <c:v>non kjss</c:v>
                </c:pt>
              </c:strCache>
            </c:strRef>
          </c:cat>
          <c:val>
            <c:numRef>
              <c:f>Xray_pivot!$E$57:$E$59</c:f>
              <c:numCache>
                <c:formatCode>General</c:formatCode>
                <c:ptCount val="2"/>
                <c:pt idx="0">
                  <c:v>2098</c:v>
                </c:pt>
                <c:pt idx="1">
                  <c:v>35753</c:v>
                </c:pt>
              </c:numCache>
            </c:numRef>
          </c:val>
          <c:extLst>
            <c:ext xmlns:c16="http://schemas.microsoft.com/office/drawing/2014/chart" uri="{C3380CC4-5D6E-409C-BE32-E72D297353CC}">
              <c16:uniqueId val="{00000000-6F9A-4CFF-B012-B30AE28E5FE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ysClr val="windowText" lastClr="000000">
          <a:lumMod val="75000"/>
          <a:lumOff val="25000"/>
        </a:sysClr>
      </a:fgClr>
      <a:bgClr>
        <a:schemeClr val="bg1"/>
      </a:bgClr>
    </a:pattFill>
    <a:ln w="9525" cap="flat" cmpd="sng" algn="ctr">
      <a:solidFill>
        <a:schemeClr val="dk1">
          <a:lumMod val="25000"/>
          <a:lumOff val="7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[Patient_Data.xlsx]Xray_pivot!PivotTable20</c:name>
    <c:fmtId val="6"/>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a:t>Yearly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Xray_pivot!$B$2</c:f>
              <c:strCache>
                <c:ptCount val="1"/>
                <c:pt idx="0">
                  <c:v>kjss count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Xray_pivot!$A$3:$A$8</c:f>
              <c:strCache>
                <c:ptCount val="5"/>
                <c:pt idx="0">
                  <c:v>2021-22</c:v>
                </c:pt>
                <c:pt idx="1">
                  <c:v>2022-23</c:v>
                </c:pt>
                <c:pt idx="2">
                  <c:v>2023-24</c:v>
                </c:pt>
                <c:pt idx="3">
                  <c:v>2024-25</c:v>
                </c:pt>
                <c:pt idx="4">
                  <c:v>2025-26</c:v>
                </c:pt>
              </c:strCache>
            </c:strRef>
          </c:cat>
          <c:val>
            <c:numRef>
              <c:f>Xray_pivot!$B$3:$B$8</c:f>
              <c:numCache>
                <c:formatCode>General</c:formatCode>
                <c:ptCount val="5"/>
                <c:pt idx="0">
                  <c:v>329</c:v>
                </c:pt>
                <c:pt idx="1">
                  <c:v>388</c:v>
                </c:pt>
                <c:pt idx="2">
                  <c:v>446</c:v>
                </c:pt>
                <c:pt idx="3">
                  <c:v>486</c:v>
                </c:pt>
                <c:pt idx="4">
                  <c:v>449</c:v>
                </c:pt>
              </c:numCache>
            </c:numRef>
          </c:val>
          <c:extLst>
            <c:ext xmlns:c16="http://schemas.microsoft.com/office/drawing/2014/chart" uri="{C3380CC4-5D6E-409C-BE32-E72D297353CC}">
              <c16:uniqueId val="{00000000-750C-4872-86F4-5D934A5EF719}"/>
            </c:ext>
          </c:extLst>
        </c:ser>
        <c:ser>
          <c:idx val="1"/>
          <c:order val="1"/>
          <c:tx>
            <c:strRef>
              <c:f>Xray_pivot!$C$2</c:f>
              <c:strCache>
                <c:ptCount val="1"/>
                <c:pt idx="0">
                  <c:v>non kjss count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Xray_pivot!$A$3:$A$8</c:f>
              <c:strCache>
                <c:ptCount val="5"/>
                <c:pt idx="0">
                  <c:v>2021-22</c:v>
                </c:pt>
                <c:pt idx="1">
                  <c:v>2022-23</c:v>
                </c:pt>
                <c:pt idx="2">
                  <c:v>2023-24</c:v>
                </c:pt>
                <c:pt idx="3">
                  <c:v>2024-25</c:v>
                </c:pt>
                <c:pt idx="4">
                  <c:v>2025-26</c:v>
                </c:pt>
              </c:strCache>
            </c:strRef>
          </c:cat>
          <c:val>
            <c:numRef>
              <c:f>Xray_pivot!$C$3:$C$8</c:f>
              <c:numCache>
                <c:formatCode>General</c:formatCode>
                <c:ptCount val="5"/>
                <c:pt idx="0">
                  <c:v>6933</c:v>
                </c:pt>
                <c:pt idx="1">
                  <c:v>7592</c:v>
                </c:pt>
                <c:pt idx="2">
                  <c:v>7643</c:v>
                </c:pt>
                <c:pt idx="3">
                  <c:v>7100</c:v>
                </c:pt>
                <c:pt idx="4">
                  <c:v>6485</c:v>
                </c:pt>
              </c:numCache>
            </c:numRef>
          </c:val>
          <c:extLst>
            <c:ext xmlns:c16="http://schemas.microsoft.com/office/drawing/2014/chart" uri="{C3380CC4-5D6E-409C-BE32-E72D297353CC}">
              <c16:uniqueId val="{00000001-750C-4872-86F4-5D934A5EF719}"/>
            </c:ext>
          </c:extLst>
        </c:ser>
        <c:dLbls>
          <c:dLblPos val="outEnd"/>
          <c:showLegendKey val="0"/>
          <c:showVal val="1"/>
          <c:showCatName val="0"/>
          <c:showSerName val="0"/>
          <c:showPercent val="0"/>
          <c:showBubbleSize val="0"/>
        </c:dLbls>
        <c:gapWidth val="219"/>
        <c:overlap val="-27"/>
        <c:axId val="675348447"/>
        <c:axId val="675348927"/>
      </c:barChart>
      <c:catAx>
        <c:axId val="67534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5348927"/>
        <c:crosses val="autoZero"/>
        <c:auto val="1"/>
        <c:lblAlgn val="ctr"/>
        <c:lblOffset val="100"/>
        <c:noMultiLvlLbl val="0"/>
      </c:catAx>
      <c:valAx>
        <c:axId val="67534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534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[Patient_Data.xlsx]Xray_pivot!PivotTable21</c:name>
    <c:fmtId val="6"/>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a:t>Monthly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Xray_pivot!$H$2</c:f>
              <c:strCache>
                <c:ptCount val="1"/>
                <c:pt idx="0">
                  <c:v>Sum of kjss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Xray_pivot!$G$3:$G$27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Xray_pivot!$H$3:$H$27</c:f>
              <c:numCache>
                <c:formatCode>General</c:formatCode>
                <c:ptCount val="12"/>
                <c:pt idx="0">
                  <c:v>162</c:v>
                </c:pt>
                <c:pt idx="1">
                  <c:v>178</c:v>
                </c:pt>
                <c:pt idx="2">
                  <c:v>169</c:v>
                </c:pt>
                <c:pt idx="3">
                  <c:v>152</c:v>
                </c:pt>
                <c:pt idx="4">
                  <c:v>141</c:v>
                </c:pt>
                <c:pt idx="5">
                  <c:v>161</c:v>
                </c:pt>
                <c:pt idx="6">
                  <c:v>153</c:v>
                </c:pt>
                <c:pt idx="7">
                  <c:v>150</c:v>
                </c:pt>
                <c:pt idx="8">
                  <c:v>201</c:v>
                </c:pt>
                <c:pt idx="9">
                  <c:v>163</c:v>
                </c:pt>
                <c:pt idx="10">
                  <c:v>216</c:v>
                </c:pt>
                <c:pt idx="11">
                  <c:v>252</c:v>
                </c:pt>
              </c:numCache>
            </c:numRef>
          </c:val>
          <c:smooth val="0"/>
          <c:extLst>
            <c:ext xmlns:c16="http://schemas.microsoft.com/office/drawing/2014/chart" uri="{C3380CC4-5D6E-409C-BE32-E72D297353CC}">
              <c16:uniqueId val="{00000000-884D-458D-8798-6C7C0832AF89}"/>
            </c:ext>
          </c:extLst>
        </c:ser>
        <c:ser>
          <c:idx val="1"/>
          <c:order val="1"/>
          <c:tx>
            <c:strRef>
              <c:f>Xray_pivot!$I$2</c:f>
              <c:strCache>
                <c:ptCount val="1"/>
                <c:pt idx="0">
                  <c:v>Sum of non kjss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Xray_pivot!$G$3:$G$27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Xray_pivot!$I$3:$I$27</c:f>
              <c:numCache>
                <c:formatCode>General</c:formatCode>
                <c:ptCount val="12"/>
                <c:pt idx="0">
                  <c:v>2813</c:v>
                </c:pt>
                <c:pt idx="1">
                  <c:v>2654</c:v>
                </c:pt>
                <c:pt idx="2">
                  <c:v>2816</c:v>
                </c:pt>
                <c:pt idx="3">
                  <c:v>3385</c:v>
                </c:pt>
                <c:pt idx="4">
                  <c:v>2960</c:v>
                </c:pt>
                <c:pt idx="5">
                  <c:v>3281</c:v>
                </c:pt>
                <c:pt idx="6">
                  <c:v>2700</c:v>
                </c:pt>
                <c:pt idx="7">
                  <c:v>2818</c:v>
                </c:pt>
                <c:pt idx="8">
                  <c:v>3029</c:v>
                </c:pt>
                <c:pt idx="9">
                  <c:v>2764</c:v>
                </c:pt>
                <c:pt idx="10">
                  <c:v>3181</c:v>
                </c:pt>
                <c:pt idx="11">
                  <c:v>3352</c:v>
                </c:pt>
              </c:numCache>
            </c:numRef>
          </c:val>
          <c:smooth val="0"/>
          <c:extLst>
            <c:ext xmlns:c16="http://schemas.microsoft.com/office/drawing/2014/chart" uri="{C3380CC4-5D6E-409C-BE32-E72D297353CC}">
              <c16:uniqueId val="{00000001-884D-458D-8798-6C7C0832AF89}"/>
            </c:ext>
          </c:extLst>
        </c:ser>
        <c:dLbls>
          <c:dLblPos val="t"/>
          <c:showLegendKey val="0"/>
          <c:showVal val="1"/>
          <c:showCatName val="0"/>
          <c:showSerName val="0"/>
          <c:showPercent val="0"/>
          <c:showBubbleSize val="0"/>
        </c:dLbls>
        <c:smooth val="0"/>
        <c:axId val="1196139007"/>
        <c:axId val="1418143951"/>
      </c:lineChart>
      <c:catAx>
        <c:axId val="119613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418143951"/>
        <c:crosses val="autoZero"/>
        <c:auto val="1"/>
        <c:lblAlgn val="ctr"/>
        <c:lblOffset val="100"/>
        <c:noMultiLvlLbl val="0"/>
      </c:catAx>
      <c:valAx>
        <c:axId val="141814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613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[Patient_Data.xlsx]Xray_pivot!PivotTable22</c:name>
    <c:fmtId val="8"/>
  </c:pivotSource>
  <c:chart>
    <c:title>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5B074D4-82AA-4EE1-B287-04ED020FBDF2}"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75457CB-4B33-4BF2-B234-E14CF63B3BA7}"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5B074D4-82AA-4EE1-B287-04ED020FBDF2}"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75457CB-4B33-4BF2-B234-E14CF63B3BA7}"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5B074D4-82AA-4EE1-B287-04ED020FBDF2}"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75457CB-4B33-4BF2-B234-E14CF63B3BA7}"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Xray_pivot!$E$56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173-460E-B5F7-DA18A2A8DA5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173-460E-B5F7-DA18A2A8DA52}"/>
              </c:ext>
            </c:extLst>
          </c:dPt>
          <c:dLbls>
            <c:dLbl>
              <c:idx val="0"/>
              <c:tx>
                <c:rich>
                  <a:bodyPr/>
                  <a:lstStyle/>
                  <a:p>
                    <a:fld id="{F5B074D4-82AA-4EE1-B287-04ED020FBDF2}"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173-460E-B5F7-DA18A2A8DA52}"/>
                </c:ext>
              </c:extLst>
            </c:dLbl>
            <c:dLbl>
              <c:idx val="1"/>
              <c:tx>
                <c:rich>
                  <a:bodyPr/>
                  <a:lstStyle/>
                  <a:p>
                    <a:fld id="{F75457CB-4B33-4BF2-B234-E14CF63B3BA7}"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173-460E-B5F7-DA18A2A8DA5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Xray_pivot!$D$57:$D$59</c:f>
              <c:strCache>
                <c:ptCount val="2"/>
                <c:pt idx="0">
                  <c:v>kjss</c:v>
                </c:pt>
                <c:pt idx="1">
                  <c:v>non kjss</c:v>
                </c:pt>
              </c:strCache>
            </c:strRef>
          </c:cat>
          <c:val>
            <c:numRef>
              <c:f>Xray_pivot!$E$57:$E$59</c:f>
              <c:numCache>
                <c:formatCode>General</c:formatCode>
                <c:ptCount val="2"/>
                <c:pt idx="0">
                  <c:v>2098</c:v>
                </c:pt>
                <c:pt idx="1">
                  <c:v>35753</c:v>
                </c:pt>
              </c:numCache>
            </c:numRef>
          </c:val>
          <c:extLst>
            <c:ext xmlns:c16="http://schemas.microsoft.com/office/drawing/2014/chart" uri="{C3380CC4-5D6E-409C-BE32-E72D297353CC}">
              <c16:uniqueId val="{00000004-D173-460E-B5F7-DA18A2A8DA5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ysClr val="windowText" lastClr="000000">
          <a:lumMod val="75000"/>
          <a:lumOff val="25000"/>
        </a:sysClr>
      </a:fgClr>
      <a:bgClr>
        <a:schemeClr val="bg1"/>
      </a:bgClr>
    </a:pattFill>
    <a:ln w="9525" cap="flat" cmpd="sng" algn="ctr">
      <a:solidFill>
        <a:schemeClr val="dk1">
          <a:lumMod val="25000"/>
          <a:lumOff val="7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[Patient_Data.xlsx]Dental_pivot!PivotTable23</c:name>
    <c:fmtId val="1"/>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a:t>Yearly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Dental_pivot!$B$2</c:f>
              <c:strCache>
                <c:ptCount val="1"/>
                <c:pt idx="0">
                  <c:v>Sum of kjss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Dental_pivot!$A$3:$A$8</c:f>
              <c:strCache>
                <c:ptCount val="5"/>
                <c:pt idx="0">
                  <c:v>2021-22</c:v>
                </c:pt>
                <c:pt idx="1">
                  <c:v>2022-23</c:v>
                </c:pt>
                <c:pt idx="2">
                  <c:v>2023-24</c:v>
                </c:pt>
                <c:pt idx="3">
                  <c:v>2024-25</c:v>
                </c:pt>
                <c:pt idx="4">
                  <c:v>2025-26</c:v>
                </c:pt>
              </c:strCache>
            </c:strRef>
          </c:cat>
          <c:val>
            <c:numRef>
              <c:f>Dental_pivot!$B$3:$B$8</c:f>
              <c:numCache>
                <c:formatCode>General</c:formatCode>
                <c:ptCount val="5"/>
                <c:pt idx="0">
                  <c:v>601</c:v>
                </c:pt>
                <c:pt idx="1">
                  <c:v>729</c:v>
                </c:pt>
                <c:pt idx="2">
                  <c:v>824</c:v>
                </c:pt>
                <c:pt idx="3">
                  <c:v>835</c:v>
                </c:pt>
                <c:pt idx="4">
                  <c:v>756</c:v>
                </c:pt>
              </c:numCache>
            </c:numRef>
          </c:val>
          <c:extLst>
            <c:ext xmlns:c16="http://schemas.microsoft.com/office/drawing/2014/chart" uri="{C3380CC4-5D6E-409C-BE32-E72D297353CC}">
              <c16:uniqueId val="{00000000-D461-49D3-AF0E-22A70C5480D3}"/>
            </c:ext>
          </c:extLst>
        </c:ser>
        <c:ser>
          <c:idx val="1"/>
          <c:order val="1"/>
          <c:tx>
            <c:strRef>
              <c:f>Dental_pivot!$C$2</c:f>
              <c:strCache>
                <c:ptCount val="1"/>
                <c:pt idx="0">
                  <c:v>Sum of non kjss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Dental_pivot!$A$3:$A$8</c:f>
              <c:strCache>
                <c:ptCount val="5"/>
                <c:pt idx="0">
                  <c:v>2021-22</c:v>
                </c:pt>
                <c:pt idx="1">
                  <c:v>2022-23</c:v>
                </c:pt>
                <c:pt idx="2">
                  <c:v>2023-24</c:v>
                </c:pt>
                <c:pt idx="3">
                  <c:v>2024-25</c:v>
                </c:pt>
                <c:pt idx="4">
                  <c:v>2025-26</c:v>
                </c:pt>
              </c:strCache>
            </c:strRef>
          </c:cat>
          <c:val>
            <c:numRef>
              <c:f>Dental_pivot!$C$3:$C$8</c:f>
              <c:numCache>
                <c:formatCode>General</c:formatCode>
                <c:ptCount val="5"/>
                <c:pt idx="0">
                  <c:v>4106</c:v>
                </c:pt>
                <c:pt idx="1">
                  <c:v>4021</c:v>
                </c:pt>
                <c:pt idx="2">
                  <c:v>4536</c:v>
                </c:pt>
                <c:pt idx="3">
                  <c:v>4509</c:v>
                </c:pt>
                <c:pt idx="4">
                  <c:v>4410</c:v>
                </c:pt>
              </c:numCache>
            </c:numRef>
          </c:val>
          <c:extLst>
            <c:ext xmlns:c16="http://schemas.microsoft.com/office/drawing/2014/chart" uri="{C3380CC4-5D6E-409C-BE32-E72D297353CC}">
              <c16:uniqueId val="{00000001-D461-49D3-AF0E-22A70C5480D3}"/>
            </c:ext>
          </c:extLst>
        </c:ser>
        <c:dLbls>
          <c:dLblPos val="outEnd"/>
          <c:showLegendKey val="0"/>
          <c:showVal val="1"/>
          <c:showCatName val="0"/>
          <c:showSerName val="0"/>
          <c:showPercent val="0"/>
          <c:showBubbleSize val="0"/>
        </c:dLbls>
        <c:gapWidth val="219"/>
        <c:overlap val="-27"/>
        <c:axId val="1105489375"/>
        <c:axId val="1105493215"/>
      </c:barChart>
      <c:catAx>
        <c:axId val="110548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5493215"/>
        <c:crosses val="autoZero"/>
        <c:auto val="1"/>
        <c:lblAlgn val="ctr"/>
        <c:lblOffset val="100"/>
        <c:noMultiLvlLbl val="0"/>
      </c:catAx>
      <c:valAx>
        <c:axId val="110549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548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[Patient_Data.xlsx]Dental_pivot!PivotTable24</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a:t>Monthly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Dental_pivot!$I$2</c:f>
              <c:strCache>
                <c:ptCount val="1"/>
                <c:pt idx="0">
                  <c:v>Sum of kjss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Dental_pivot!$H$3:$H$27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Dental_pivot!$I$3:$I$27</c:f>
              <c:numCache>
                <c:formatCode>General</c:formatCode>
                <c:ptCount val="12"/>
                <c:pt idx="0">
                  <c:v>308</c:v>
                </c:pt>
                <c:pt idx="1">
                  <c:v>294</c:v>
                </c:pt>
                <c:pt idx="2">
                  <c:v>311</c:v>
                </c:pt>
                <c:pt idx="3">
                  <c:v>304</c:v>
                </c:pt>
                <c:pt idx="4">
                  <c:v>235</c:v>
                </c:pt>
                <c:pt idx="5">
                  <c:v>323</c:v>
                </c:pt>
                <c:pt idx="6">
                  <c:v>268</c:v>
                </c:pt>
                <c:pt idx="7">
                  <c:v>317</c:v>
                </c:pt>
                <c:pt idx="8">
                  <c:v>302</c:v>
                </c:pt>
                <c:pt idx="9">
                  <c:v>339</c:v>
                </c:pt>
                <c:pt idx="10">
                  <c:v>295</c:v>
                </c:pt>
                <c:pt idx="11">
                  <c:v>449</c:v>
                </c:pt>
              </c:numCache>
            </c:numRef>
          </c:val>
          <c:smooth val="0"/>
          <c:extLst>
            <c:ext xmlns:c16="http://schemas.microsoft.com/office/drawing/2014/chart" uri="{C3380CC4-5D6E-409C-BE32-E72D297353CC}">
              <c16:uniqueId val="{00000000-50E9-4465-B841-9AD4CEA42B7C}"/>
            </c:ext>
          </c:extLst>
        </c:ser>
        <c:ser>
          <c:idx val="1"/>
          <c:order val="1"/>
          <c:tx>
            <c:strRef>
              <c:f>Dental_pivot!$J$2</c:f>
              <c:strCache>
                <c:ptCount val="1"/>
                <c:pt idx="0">
                  <c:v>Sum of non kjss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Dental_pivot!$H$3:$H$27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Dental_pivot!$J$3:$J$27</c:f>
              <c:numCache>
                <c:formatCode>General</c:formatCode>
                <c:ptCount val="12"/>
                <c:pt idx="0">
                  <c:v>1665</c:v>
                </c:pt>
                <c:pt idx="1">
                  <c:v>1698</c:v>
                </c:pt>
                <c:pt idx="2">
                  <c:v>1845</c:v>
                </c:pt>
                <c:pt idx="3">
                  <c:v>1886</c:v>
                </c:pt>
                <c:pt idx="4">
                  <c:v>1506</c:v>
                </c:pt>
                <c:pt idx="5">
                  <c:v>1828</c:v>
                </c:pt>
                <c:pt idx="6">
                  <c:v>1524</c:v>
                </c:pt>
                <c:pt idx="7">
                  <c:v>1851</c:v>
                </c:pt>
                <c:pt idx="8">
                  <c:v>2015</c:v>
                </c:pt>
                <c:pt idx="9">
                  <c:v>1914</c:v>
                </c:pt>
                <c:pt idx="10">
                  <c:v>1736</c:v>
                </c:pt>
                <c:pt idx="11">
                  <c:v>2114</c:v>
                </c:pt>
              </c:numCache>
            </c:numRef>
          </c:val>
          <c:smooth val="0"/>
          <c:extLst>
            <c:ext xmlns:c16="http://schemas.microsoft.com/office/drawing/2014/chart" uri="{C3380CC4-5D6E-409C-BE32-E72D297353CC}">
              <c16:uniqueId val="{00000001-50E9-4465-B841-9AD4CEA42B7C}"/>
            </c:ext>
          </c:extLst>
        </c:ser>
        <c:dLbls>
          <c:dLblPos val="t"/>
          <c:showLegendKey val="0"/>
          <c:showVal val="1"/>
          <c:showCatName val="0"/>
          <c:showSerName val="0"/>
          <c:showPercent val="0"/>
          <c:showBubbleSize val="0"/>
        </c:dLbls>
        <c:smooth val="0"/>
        <c:axId val="1104763631"/>
        <c:axId val="1104764111"/>
      </c:lineChart>
      <c:catAx>
        <c:axId val="110476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104764111"/>
        <c:crosses val="autoZero"/>
        <c:auto val="1"/>
        <c:lblAlgn val="ctr"/>
        <c:lblOffset val="100"/>
        <c:noMultiLvlLbl val="0"/>
      </c:catAx>
      <c:valAx>
        <c:axId val="110476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476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[Patient_Data.xlsx]Dental_pivot!PivotTable25</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893723C-2EC8-4B57-BFD8-BE47E8FD62C3}"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A5C7DF0-21AB-4A1F-BA26-33072A1B2707}"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Dental_pivot!$G$43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FDB3-4DC6-8459-A7333328C2D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DB3-4DC6-8459-A7333328C2DA}"/>
              </c:ext>
            </c:extLst>
          </c:dPt>
          <c:dLbls>
            <c:dLbl>
              <c:idx val="0"/>
              <c:tx>
                <c:rich>
                  <a:bodyPr/>
                  <a:lstStyle/>
                  <a:p>
                    <a:fld id="{C893723C-2EC8-4B57-BFD8-BE47E8FD62C3}"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DB3-4DC6-8459-A7333328C2DA}"/>
                </c:ext>
              </c:extLst>
            </c:dLbl>
            <c:dLbl>
              <c:idx val="1"/>
              <c:tx>
                <c:rich>
                  <a:bodyPr/>
                  <a:lstStyle/>
                  <a:p>
                    <a:fld id="{1A5C7DF0-21AB-4A1F-BA26-33072A1B2707}"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DB3-4DC6-8459-A7333328C2D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Dental_pivot!$F$44:$F$46</c:f>
              <c:strCache>
                <c:ptCount val="2"/>
                <c:pt idx="0">
                  <c:v>kjss</c:v>
                </c:pt>
                <c:pt idx="1">
                  <c:v>non kjss</c:v>
                </c:pt>
              </c:strCache>
            </c:strRef>
          </c:cat>
          <c:val>
            <c:numRef>
              <c:f>Dental_pivot!$G$44:$G$46</c:f>
              <c:numCache>
                <c:formatCode>General</c:formatCode>
                <c:ptCount val="2"/>
                <c:pt idx="0">
                  <c:v>3745</c:v>
                </c:pt>
                <c:pt idx="1">
                  <c:v>21582</c:v>
                </c:pt>
              </c:numCache>
            </c:numRef>
          </c:val>
          <c:extLst>
            <c:ext xmlns:c16="http://schemas.microsoft.com/office/drawing/2014/chart" uri="{C3380CC4-5D6E-409C-BE32-E72D297353CC}">
              <c16:uniqueId val="{00000000-FDB3-4DC6-8459-A7333328C2D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tx1"/>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[Patient_Data.xlsx]Dental_pivot!PivotTable23</c:name>
    <c:fmtId val="1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a:t>Yearly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Dental_pivot!$B$2</c:f>
              <c:strCache>
                <c:ptCount val="1"/>
                <c:pt idx="0">
                  <c:v>Sum of kjss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Dental_pivot!$A$3:$A$8</c:f>
              <c:strCache>
                <c:ptCount val="5"/>
                <c:pt idx="0">
                  <c:v>2021-22</c:v>
                </c:pt>
                <c:pt idx="1">
                  <c:v>2022-23</c:v>
                </c:pt>
                <c:pt idx="2">
                  <c:v>2023-24</c:v>
                </c:pt>
                <c:pt idx="3">
                  <c:v>2024-25</c:v>
                </c:pt>
                <c:pt idx="4">
                  <c:v>2025-26</c:v>
                </c:pt>
              </c:strCache>
            </c:strRef>
          </c:cat>
          <c:val>
            <c:numRef>
              <c:f>Dental_pivot!$B$3:$B$8</c:f>
              <c:numCache>
                <c:formatCode>General</c:formatCode>
                <c:ptCount val="5"/>
                <c:pt idx="0">
                  <c:v>601</c:v>
                </c:pt>
                <c:pt idx="1">
                  <c:v>729</c:v>
                </c:pt>
                <c:pt idx="2">
                  <c:v>824</c:v>
                </c:pt>
                <c:pt idx="3">
                  <c:v>835</c:v>
                </c:pt>
                <c:pt idx="4">
                  <c:v>756</c:v>
                </c:pt>
              </c:numCache>
            </c:numRef>
          </c:val>
          <c:extLst>
            <c:ext xmlns:c16="http://schemas.microsoft.com/office/drawing/2014/chart" uri="{C3380CC4-5D6E-409C-BE32-E72D297353CC}">
              <c16:uniqueId val="{00000000-10E9-4059-BF4A-FA5CE1FFDCD7}"/>
            </c:ext>
          </c:extLst>
        </c:ser>
        <c:ser>
          <c:idx val="1"/>
          <c:order val="1"/>
          <c:tx>
            <c:strRef>
              <c:f>Dental_pivot!$C$2</c:f>
              <c:strCache>
                <c:ptCount val="1"/>
                <c:pt idx="0">
                  <c:v>Sum of non kjss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Dental_pivot!$A$3:$A$8</c:f>
              <c:strCache>
                <c:ptCount val="5"/>
                <c:pt idx="0">
                  <c:v>2021-22</c:v>
                </c:pt>
                <c:pt idx="1">
                  <c:v>2022-23</c:v>
                </c:pt>
                <c:pt idx="2">
                  <c:v>2023-24</c:v>
                </c:pt>
                <c:pt idx="3">
                  <c:v>2024-25</c:v>
                </c:pt>
                <c:pt idx="4">
                  <c:v>2025-26</c:v>
                </c:pt>
              </c:strCache>
            </c:strRef>
          </c:cat>
          <c:val>
            <c:numRef>
              <c:f>Dental_pivot!$C$3:$C$8</c:f>
              <c:numCache>
                <c:formatCode>General</c:formatCode>
                <c:ptCount val="5"/>
                <c:pt idx="0">
                  <c:v>4106</c:v>
                </c:pt>
                <c:pt idx="1">
                  <c:v>4021</c:v>
                </c:pt>
                <c:pt idx="2">
                  <c:v>4536</c:v>
                </c:pt>
                <c:pt idx="3">
                  <c:v>4509</c:v>
                </c:pt>
                <c:pt idx="4">
                  <c:v>4410</c:v>
                </c:pt>
              </c:numCache>
            </c:numRef>
          </c:val>
          <c:extLst>
            <c:ext xmlns:c16="http://schemas.microsoft.com/office/drawing/2014/chart" uri="{C3380CC4-5D6E-409C-BE32-E72D297353CC}">
              <c16:uniqueId val="{00000001-10E9-4059-BF4A-FA5CE1FFDCD7}"/>
            </c:ext>
          </c:extLst>
        </c:ser>
        <c:dLbls>
          <c:dLblPos val="outEnd"/>
          <c:showLegendKey val="0"/>
          <c:showVal val="1"/>
          <c:showCatName val="0"/>
          <c:showSerName val="0"/>
          <c:showPercent val="0"/>
          <c:showBubbleSize val="0"/>
        </c:dLbls>
        <c:gapWidth val="219"/>
        <c:overlap val="-27"/>
        <c:axId val="1105489375"/>
        <c:axId val="1105493215"/>
      </c:barChart>
      <c:catAx>
        <c:axId val="110548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5493215"/>
        <c:crosses val="autoZero"/>
        <c:auto val="1"/>
        <c:lblAlgn val="ctr"/>
        <c:lblOffset val="100"/>
        <c:noMultiLvlLbl val="0"/>
      </c:catAx>
      <c:valAx>
        <c:axId val="110549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548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[Patient_Data.xlsx]Dental_pivot!PivotTable24</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a:t>Monthly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Dental_pivot!$I$2</c:f>
              <c:strCache>
                <c:ptCount val="1"/>
                <c:pt idx="0">
                  <c:v>Sum of kjss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Dental_pivot!$H$3:$H$27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Dental_pivot!$I$3:$I$27</c:f>
              <c:numCache>
                <c:formatCode>General</c:formatCode>
                <c:ptCount val="12"/>
                <c:pt idx="0">
                  <c:v>308</c:v>
                </c:pt>
                <c:pt idx="1">
                  <c:v>294</c:v>
                </c:pt>
                <c:pt idx="2">
                  <c:v>311</c:v>
                </c:pt>
                <c:pt idx="3">
                  <c:v>304</c:v>
                </c:pt>
                <c:pt idx="4">
                  <c:v>235</c:v>
                </c:pt>
                <c:pt idx="5">
                  <c:v>323</c:v>
                </c:pt>
                <c:pt idx="6">
                  <c:v>268</c:v>
                </c:pt>
                <c:pt idx="7">
                  <c:v>317</c:v>
                </c:pt>
                <c:pt idx="8">
                  <c:v>302</c:v>
                </c:pt>
                <c:pt idx="9">
                  <c:v>339</c:v>
                </c:pt>
                <c:pt idx="10">
                  <c:v>295</c:v>
                </c:pt>
                <c:pt idx="11">
                  <c:v>449</c:v>
                </c:pt>
              </c:numCache>
            </c:numRef>
          </c:val>
          <c:smooth val="0"/>
          <c:extLst>
            <c:ext xmlns:c16="http://schemas.microsoft.com/office/drawing/2014/chart" uri="{C3380CC4-5D6E-409C-BE32-E72D297353CC}">
              <c16:uniqueId val="{00000000-E52B-4B53-BB05-DE324946694C}"/>
            </c:ext>
          </c:extLst>
        </c:ser>
        <c:ser>
          <c:idx val="1"/>
          <c:order val="1"/>
          <c:tx>
            <c:strRef>
              <c:f>Dental_pivot!$J$2</c:f>
              <c:strCache>
                <c:ptCount val="1"/>
                <c:pt idx="0">
                  <c:v>Sum of non kjss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Dental_pivot!$H$3:$H$27</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Dental_pivot!$J$3:$J$27</c:f>
              <c:numCache>
                <c:formatCode>General</c:formatCode>
                <c:ptCount val="12"/>
                <c:pt idx="0">
                  <c:v>1665</c:v>
                </c:pt>
                <c:pt idx="1">
                  <c:v>1698</c:v>
                </c:pt>
                <c:pt idx="2">
                  <c:v>1845</c:v>
                </c:pt>
                <c:pt idx="3">
                  <c:v>1886</c:v>
                </c:pt>
                <c:pt idx="4">
                  <c:v>1506</c:v>
                </c:pt>
                <c:pt idx="5">
                  <c:v>1828</c:v>
                </c:pt>
                <c:pt idx="6">
                  <c:v>1524</c:v>
                </c:pt>
                <c:pt idx="7">
                  <c:v>1851</c:v>
                </c:pt>
                <c:pt idx="8">
                  <c:v>2015</c:v>
                </c:pt>
                <c:pt idx="9">
                  <c:v>1914</c:v>
                </c:pt>
                <c:pt idx="10">
                  <c:v>1736</c:v>
                </c:pt>
                <c:pt idx="11">
                  <c:v>2114</c:v>
                </c:pt>
              </c:numCache>
            </c:numRef>
          </c:val>
          <c:smooth val="0"/>
          <c:extLst>
            <c:ext xmlns:c16="http://schemas.microsoft.com/office/drawing/2014/chart" uri="{C3380CC4-5D6E-409C-BE32-E72D297353CC}">
              <c16:uniqueId val="{00000001-E52B-4B53-BB05-DE324946694C}"/>
            </c:ext>
          </c:extLst>
        </c:ser>
        <c:dLbls>
          <c:dLblPos val="t"/>
          <c:showLegendKey val="0"/>
          <c:showVal val="1"/>
          <c:showCatName val="0"/>
          <c:showSerName val="0"/>
          <c:showPercent val="0"/>
          <c:showBubbleSize val="0"/>
        </c:dLbls>
        <c:smooth val="0"/>
        <c:axId val="1104763631"/>
        <c:axId val="1104764111"/>
      </c:lineChart>
      <c:catAx>
        <c:axId val="110476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104764111"/>
        <c:crosses val="autoZero"/>
        <c:auto val="1"/>
        <c:lblAlgn val="ctr"/>
        <c:lblOffset val="100"/>
        <c:noMultiLvlLbl val="0"/>
      </c:catAx>
      <c:valAx>
        <c:axId val="110476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476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[Patient_Data.xlsx]Dental_pivot!PivotTable25</c:name>
    <c:fmtId val="9"/>
  </c:pivotSource>
  <c:chart>
    <c:title>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893723C-2EC8-4B57-BFD8-BE47E8FD62C3}"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A5C7DF0-21AB-4A1F-BA26-33072A1B2707}"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893723C-2EC8-4B57-BFD8-BE47E8FD62C3}"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A5C7DF0-21AB-4A1F-BA26-33072A1B2707}"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893723C-2EC8-4B57-BFD8-BE47E8FD62C3}"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A5C7DF0-21AB-4A1F-BA26-33072A1B2707}"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Dental_pivot!$G$43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4B-428B-838F-2F7AF0D1D5C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4B-428B-838F-2F7AF0D1D5C8}"/>
              </c:ext>
            </c:extLst>
          </c:dPt>
          <c:dLbls>
            <c:dLbl>
              <c:idx val="0"/>
              <c:tx>
                <c:rich>
                  <a:bodyPr/>
                  <a:lstStyle/>
                  <a:p>
                    <a:fld id="{C893723C-2EC8-4B57-BFD8-BE47E8FD62C3}"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D4B-428B-838F-2F7AF0D1D5C8}"/>
                </c:ext>
              </c:extLst>
            </c:dLbl>
            <c:dLbl>
              <c:idx val="1"/>
              <c:tx>
                <c:rich>
                  <a:bodyPr/>
                  <a:lstStyle/>
                  <a:p>
                    <a:fld id="{1A5C7DF0-21AB-4A1F-BA26-33072A1B2707}"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D4B-428B-838F-2F7AF0D1D5C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Dental_pivot!$F$44:$F$46</c:f>
              <c:strCache>
                <c:ptCount val="2"/>
                <c:pt idx="0">
                  <c:v>kjss</c:v>
                </c:pt>
                <c:pt idx="1">
                  <c:v>non kjss</c:v>
                </c:pt>
              </c:strCache>
            </c:strRef>
          </c:cat>
          <c:val>
            <c:numRef>
              <c:f>Dental_pivot!$G$44:$G$46</c:f>
              <c:numCache>
                <c:formatCode>General</c:formatCode>
                <c:ptCount val="2"/>
                <c:pt idx="0">
                  <c:v>3745</c:v>
                </c:pt>
                <c:pt idx="1">
                  <c:v>21582</c:v>
                </c:pt>
              </c:numCache>
            </c:numRef>
          </c:val>
          <c:extLst>
            <c:ext xmlns:c16="http://schemas.microsoft.com/office/drawing/2014/chart" uri="{C3380CC4-5D6E-409C-BE32-E72D297353CC}">
              <c16:uniqueId val="{00000004-DD4B-428B-838F-2F7AF0D1D5C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tx1"/>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[Patient_Data.xlsx]bodycheckup_pivot!PivotTable1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Yearly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bodycheckup_pivot!$B$3</c:f>
              <c:strCache>
                <c:ptCount val="1"/>
                <c:pt idx="0">
                  <c:v>kjss count</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bodycheckup_pivot!$A$4:$A$9</c:f>
              <c:strCache>
                <c:ptCount val="5"/>
                <c:pt idx="0">
                  <c:v>2021-22</c:v>
                </c:pt>
                <c:pt idx="1">
                  <c:v>2022-23</c:v>
                </c:pt>
                <c:pt idx="2">
                  <c:v>2023-24</c:v>
                </c:pt>
                <c:pt idx="3">
                  <c:v>2024-25</c:v>
                </c:pt>
                <c:pt idx="4">
                  <c:v>2025-26</c:v>
                </c:pt>
              </c:strCache>
            </c:strRef>
          </c:cat>
          <c:val>
            <c:numRef>
              <c:f>bodycheckup_pivot!$B$4:$B$9</c:f>
              <c:numCache>
                <c:formatCode>General</c:formatCode>
                <c:ptCount val="5"/>
                <c:pt idx="0">
                  <c:v>412</c:v>
                </c:pt>
                <c:pt idx="1">
                  <c:v>573</c:v>
                </c:pt>
                <c:pt idx="2">
                  <c:v>592</c:v>
                </c:pt>
                <c:pt idx="3">
                  <c:v>563</c:v>
                </c:pt>
                <c:pt idx="4">
                  <c:v>556</c:v>
                </c:pt>
              </c:numCache>
            </c:numRef>
          </c:val>
          <c:extLst>
            <c:ext xmlns:c16="http://schemas.microsoft.com/office/drawing/2014/chart" uri="{C3380CC4-5D6E-409C-BE32-E72D297353CC}">
              <c16:uniqueId val="{00000000-92A4-4075-AD8A-B9D9A14BEBFB}"/>
            </c:ext>
          </c:extLst>
        </c:ser>
        <c:ser>
          <c:idx val="1"/>
          <c:order val="1"/>
          <c:tx>
            <c:strRef>
              <c:f>bodycheckup_pivot!$C$3</c:f>
              <c:strCache>
                <c:ptCount val="1"/>
                <c:pt idx="0">
                  <c:v>Non kjss count </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bodycheckup_pivot!$A$4:$A$9</c:f>
              <c:strCache>
                <c:ptCount val="5"/>
                <c:pt idx="0">
                  <c:v>2021-22</c:v>
                </c:pt>
                <c:pt idx="1">
                  <c:v>2022-23</c:v>
                </c:pt>
                <c:pt idx="2">
                  <c:v>2023-24</c:v>
                </c:pt>
                <c:pt idx="3">
                  <c:v>2024-25</c:v>
                </c:pt>
                <c:pt idx="4">
                  <c:v>2025-26</c:v>
                </c:pt>
              </c:strCache>
            </c:strRef>
          </c:cat>
          <c:val>
            <c:numRef>
              <c:f>bodycheckup_pivot!$C$4:$C$9</c:f>
              <c:numCache>
                <c:formatCode>General</c:formatCode>
                <c:ptCount val="5"/>
                <c:pt idx="0">
                  <c:v>3304</c:v>
                </c:pt>
                <c:pt idx="1">
                  <c:v>3733</c:v>
                </c:pt>
                <c:pt idx="2">
                  <c:v>3815</c:v>
                </c:pt>
                <c:pt idx="3">
                  <c:v>3580</c:v>
                </c:pt>
                <c:pt idx="4">
                  <c:v>3032</c:v>
                </c:pt>
              </c:numCache>
            </c:numRef>
          </c:val>
          <c:extLst>
            <c:ext xmlns:c16="http://schemas.microsoft.com/office/drawing/2014/chart" uri="{C3380CC4-5D6E-409C-BE32-E72D297353CC}">
              <c16:uniqueId val="{00000001-92A4-4075-AD8A-B9D9A14BEBFB}"/>
            </c:ext>
          </c:extLst>
        </c:ser>
        <c:dLbls>
          <c:dLblPos val="outEnd"/>
          <c:showLegendKey val="0"/>
          <c:showVal val="1"/>
          <c:showCatName val="0"/>
          <c:showSerName val="0"/>
          <c:showPercent val="0"/>
          <c:showBubbleSize val="0"/>
        </c:dLbls>
        <c:gapWidth val="219"/>
        <c:overlap val="-27"/>
        <c:axId val="1390449023"/>
        <c:axId val="1390450463"/>
      </c:barChart>
      <c:catAx>
        <c:axId val="139044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450463"/>
        <c:crosses val="autoZero"/>
        <c:auto val="1"/>
        <c:lblAlgn val="ctr"/>
        <c:lblOffset val="100"/>
        <c:noMultiLvlLbl val="0"/>
      </c:catAx>
      <c:valAx>
        <c:axId val="139045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44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[Patient_Data.xlsx]bodycheckup_pivot!PivotTable2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bodycheckup_pivot!$H$3</c:f>
              <c:strCache>
                <c:ptCount val="1"/>
                <c:pt idx="0">
                  <c:v>kjss count</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bodycheckup_pivot!$G$4:$G$28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bodycheckup_pivot!$H$4:$H$28</c:f>
              <c:numCache>
                <c:formatCode>General</c:formatCode>
                <c:ptCount val="12"/>
                <c:pt idx="0">
                  <c:v>148</c:v>
                </c:pt>
                <c:pt idx="1">
                  <c:v>200</c:v>
                </c:pt>
                <c:pt idx="2">
                  <c:v>177</c:v>
                </c:pt>
                <c:pt idx="3">
                  <c:v>170</c:v>
                </c:pt>
                <c:pt idx="4">
                  <c:v>196</c:v>
                </c:pt>
                <c:pt idx="5">
                  <c:v>142</c:v>
                </c:pt>
                <c:pt idx="6">
                  <c:v>139</c:v>
                </c:pt>
                <c:pt idx="7">
                  <c:v>146</c:v>
                </c:pt>
                <c:pt idx="8">
                  <c:v>212</c:v>
                </c:pt>
                <c:pt idx="9">
                  <c:v>192</c:v>
                </c:pt>
                <c:pt idx="10">
                  <c:v>332</c:v>
                </c:pt>
                <c:pt idx="11">
                  <c:v>642</c:v>
                </c:pt>
              </c:numCache>
            </c:numRef>
          </c:val>
          <c:extLst>
            <c:ext xmlns:c16="http://schemas.microsoft.com/office/drawing/2014/chart" uri="{C3380CC4-5D6E-409C-BE32-E72D297353CC}">
              <c16:uniqueId val="{00000000-63B2-4283-B4DA-9B0B5A0A1FF6}"/>
            </c:ext>
          </c:extLst>
        </c:ser>
        <c:ser>
          <c:idx val="1"/>
          <c:order val="1"/>
          <c:tx>
            <c:strRef>
              <c:f>bodycheckup_pivot!$I$3</c:f>
              <c:strCache>
                <c:ptCount val="1"/>
                <c:pt idx="0">
                  <c:v>Non kjss count</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bodycheckup_pivot!$G$4:$G$28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bodycheckup_pivot!$I$4:$I$28</c:f>
              <c:numCache>
                <c:formatCode>General</c:formatCode>
                <c:ptCount val="12"/>
                <c:pt idx="0">
                  <c:v>1436</c:v>
                </c:pt>
                <c:pt idx="1">
                  <c:v>1420</c:v>
                </c:pt>
                <c:pt idx="2">
                  <c:v>1531</c:v>
                </c:pt>
                <c:pt idx="3">
                  <c:v>1592</c:v>
                </c:pt>
                <c:pt idx="4">
                  <c:v>1257</c:v>
                </c:pt>
                <c:pt idx="5">
                  <c:v>1531</c:v>
                </c:pt>
                <c:pt idx="6">
                  <c:v>1240</c:v>
                </c:pt>
                <c:pt idx="7">
                  <c:v>1154</c:v>
                </c:pt>
                <c:pt idx="8">
                  <c:v>1457</c:v>
                </c:pt>
                <c:pt idx="9">
                  <c:v>1184</c:v>
                </c:pt>
                <c:pt idx="10">
                  <c:v>1647</c:v>
                </c:pt>
                <c:pt idx="11">
                  <c:v>2015</c:v>
                </c:pt>
              </c:numCache>
            </c:numRef>
          </c:val>
          <c:extLst>
            <c:ext xmlns:c16="http://schemas.microsoft.com/office/drawing/2014/chart" uri="{C3380CC4-5D6E-409C-BE32-E72D297353CC}">
              <c16:uniqueId val="{00000001-63B2-4283-B4DA-9B0B5A0A1FF6}"/>
            </c:ext>
          </c:extLst>
        </c:ser>
        <c:dLbls>
          <c:dLblPos val="outEnd"/>
          <c:showLegendKey val="0"/>
          <c:showVal val="1"/>
          <c:showCatName val="0"/>
          <c:showSerName val="0"/>
          <c:showPercent val="0"/>
          <c:showBubbleSize val="0"/>
        </c:dLbls>
        <c:gapWidth val="219"/>
        <c:overlap val="-27"/>
        <c:axId val="1497877247"/>
        <c:axId val="1497881087"/>
      </c:barChart>
      <c:catAx>
        <c:axId val="149787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81087"/>
        <c:crosses val="autoZero"/>
        <c:auto val="1"/>
        <c:lblAlgn val="ctr"/>
        <c:lblOffset val="100"/>
        <c:noMultiLvlLbl val="0"/>
      </c:catAx>
      <c:valAx>
        <c:axId val="149788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7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[Patient_Data.xlsx]bodycheckup_pivot!PivotTable1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bodycheckup_pivot!$B$3</c:f>
              <c:strCache>
                <c:ptCount val="1"/>
                <c:pt idx="0">
                  <c:v>kjss count</c:v>
                </c:pt>
              </c:strCache>
            </c:strRef>
          </c:tx>
          <c:spPr>
            <a:ln w="28575" cap="rnd">
              <a:solidFill>
                <a:schemeClr val="accent1">
                  <a:tint val="77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bodycheckup_pivot!$A$4:$A$9</c:f>
              <c:strCache>
                <c:ptCount val="5"/>
                <c:pt idx="0">
                  <c:v>2021-22</c:v>
                </c:pt>
                <c:pt idx="1">
                  <c:v>2022-23</c:v>
                </c:pt>
                <c:pt idx="2">
                  <c:v>2023-24</c:v>
                </c:pt>
                <c:pt idx="3">
                  <c:v>2024-25</c:v>
                </c:pt>
                <c:pt idx="4">
                  <c:v>2025-26</c:v>
                </c:pt>
              </c:strCache>
            </c:strRef>
          </c:cat>
          <c:val>
            <c:numRef>
              <c:f>bodycheckup_pivot!$B$4:$B$9</c:f>
              <c:numCache>
                <c:formatCode>General</c:formatCode>
                <c:ptCount val="5"/>
                <c:pt idx="0">
                  <c:v>412</c:v>
                </c:pt>
                <c:pt idx="1">
                  <c:v>573</c:v>
                </c:pt>
                <c:pt idx="2">
                  <c:v>592</c:v>
                </c:pt>
                <c:pt idx="3">
                  <c:v>563</c:v>
                </c:pt>
                <c:pt idx="4">
                  <c:v>556</c:v>
                </c:pt>
              </c:numCache>
            </c:numRef>
          </c:val>
          <c:smooth val="0"/>
          <c:extLst>
            <c:ext xmlns:c16="http://schemas.microsoft.com/office/drawing/2014/chart" uri="{C3380CC4-5D6E-409C-BE32-E72D297353CC}">
              <c16:uniqueId val="{00000000-38BE-4871-A432-837657A806D4}"/>
            </c:ext>
          </c:extLst>
        </c:ser>
        <c:ser>
          <c:idx val="1"/>
          <c:order val="1"/>
          <c:tx>
            <c:strRef>
              <c:f>bodycheckup_pivot!$C$3</c:f>
              <c:strCache>
                <c:ptCount val="1"/>
                <c:pt idx="0">
                  <c:v>Non kjss count </c:v>
                </c:pt>
              </c:strCache>
            </c:strRef>
          </c:tx>
          <c:spPr>
            <a:ln w="28575" cap="rnd">
              <a:solidFill>
                <a:schemeClr val="accent1">
                  <a:shade val="76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bodycheckup_pivot!$A$4:$A$9</c:f>
              <c:strCache>
                <c:ptCount val="5"/>
                <c:pt idx="0">
                  <c:v>2021-22</c:v>
                </c:pt>
                <c:pt idx="1">
                  <c:v>2022-23</c:v>
                </c:pt>
                <c:pt idx="2">
                  <c:v>2023-24</c:v>
                </c:pt>
                <c:pt idx="3">
                  <c:v>2024-25</c:v>
                </c:pt>
                <c:pt idx="4">
                  <c:v>2025-26</c:v>
                </c:pt>
              </c:strCache>
            </c:strRef>
          </c:cat>
          <c:val>
            <c:numRef>
              <c:f>bodycheckup_pivot!$C$4:$C$9</c:f>
              <c:numCache>
                <c:formatCode>General</c:formatCode>
                <c:ptCount val="5"/>
                <c:pt idx="0">
                  <c:v>3304</c:v>
                </c:pt>
                <c:pt idx="1">
                  <c:v>3733</c:v>
                </c:pt>
                <c:pt idx="2">
                  <c:v>3815</c:v>
                </c:pt>
                <c:pt idx="3">
                  <c:v>3580</c:v>
                </c:pt>
                <c:pt idx="4">
                  <c:v>3032</c:v>
                </c:pt>
              </c:numCache>
            </c:numRef>
          </c:val>
          <c:smooth val="0"/>
          <c:extLst>
            <c:ext xmlns:c16="http://schemas.microsoft.com/office/drawing/2014/chart" uri="{C3380CC4-5D6E-409C-BE32-E72D297353CC}">
              <c16:uniqueId val="{00000001-38BE-4871-A432-837657A806D4}"/>
            </c:ext>
          </c:extLst>
        </c:ser>
        <c:dLbls>
          <c:dLblPos val="t"/>
          <c:showLegendKey val="0"/>
          <c:showVal val="1"/>
          <c:showCatName val="0"/>
          <c:showSerName val="0"/>
          <c:showPercent val="0"/>
          <c:showBubbleSize val="0"/>
        </c:dLbls>
        <c:smooth val="0"/>
        <c:axId val="1497902687"/>
        <c:axId val="1497895967"/>
      </c:lineChart>
      <c:catAx>
        <c:axId val="149790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95967"/>
        <c:crosses val="autoZero"/>
        <c:auto val="1"/>
        <c:lblAlgn val="ctr"/>
        <c:lblOffset val="100"/>
        <c:noMultiLvlLbl val="0"/>
      </c:catAx>
      <c:valAx>
        <c:axId val="149789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90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[Patient_Data.xlsx]bodycheckup_pivot!PivotTable2</c:name>
    <c:fmtId val="1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bodycheckup_pivot!$H$3</c:f>
              <c:strCache>
                <c:ptCount val="1"/>
                <c:pt idx="0">
                  <c:v>kjss count</c:v>
                </c:pt>
              </c:strCache>
            </c:strRef>
          </c:tx>
          <c:spPr>
            <a:ln w="28575" cap="rnd">
              <a:solidFill>
                <a:schemeClr val="accent1"/>
              </a:solidFill>
              <a:round/>
            </a:ln>
            <a:effectLst/>
          </c:spPr>
          <c:marker>
            <c:symbol val="none"/>
          </c:marker>
          <c:cat>
            <c:multiLvlStrRef>
              <c:f>bodycheckup_pivot!$G$4:$G$28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bodycheckup_pivot!$H$4:$H$28</c:f>
              <c:numCache>
                <c:formatCode>General</c:formatCode>
                <c:ptCount val="12"/>
                <c:pt idx="0">
                  <c:v>148</c:v>
                </c:pt>
                <c:pt idx="1">
                  <c:v>200</c:v>
                </c:pt>
                <c:pt idx="2">
                  <c:v>177</c:v>
                </c:pt>
                <c:pt idx="3">
                  <c:v>170</c:v>
                </c:pt>
                <c:pt idx="4">
                  <c:v>196</c:v>
                </c:pt>
                <c:pt idx="5">
                  <c:v>142</c:v>
                </c:pt>
                <c:pt idx="6">
                  <c:v>139</c:v>
                </c:pt>
                <c:pt idx="7">
                  <c:v>146</c:v>
                </c:pt>
                <c:pt idx="8">
                  <c:v>212</c:v>
                </c:pt>
                <c:pt idx="9">
                  <c:v>192</c:v>
                </c:pt>
                <c:pt idx="10">
                  <c:v>332</c:v>
                </c:pt>
                <c:pt idx="11">
                  <c:v>642</c:v>
                </c:pt>
              </c:numCache>
            </c:numRef>
          </c:val>
          <c:smooth val="0"/>
          <c:extLst>
            <c:ext xmlns:c16="http://schemas.microsoft.com/office/drawing/2014/chart" uri="{C3380CC4-5D6E-409C-BE32-E72D297353CC}">
              <c16:uniqueId val="{00000000-5310-41CB-A47E-4544D38855C2}"/>
            </c:ext>
          </c:extLst>
        </c:ser>
        <c:ser>
          <c:idx val="1"/>
          <c:order val="1"/>
          <c:tx>
            <c:strRef>
              <c:f>bodycheckup_pivot!$I$3</c:f>
              <c:strCache>
                <c:ptCount val="1"/>
                <c:pt idx="0">
                  <c:v>Non kjss count</c:v>
                </c:pt>
              </c:strCache>
            </c:strRef>
          </c:tx>
          <c:spPr>
            <a:ln w="28575" cap="rnd">
              <a:solidFill>
                <a:schemeClr val="accent2"/>
              </a:solidFill>
              <a:round/>
            </a:ln>
            <a:effectLst/>
          </c:spPr>
          <c:marker>
            <c:symbol val="none"/>
          </c:marker>
          <c:cat>
            <c:multiLvlStrRef>
              <c:f>bodycheckup_pivot!$G$4:$G$28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bodycheckup_pivot!$I$4:$I$28</c:f>
              <c:numCache>
                <c:formatCode>General</c:formatCode>
                <c:ptCount val="12"/>
                <c:pt idx="0">
                  <c:v>1436</c:v>
                </c:pt>
                <c:pt idx="1">
                  <c:v>1420</c:v>
                </c:pt>
                <c:pt idx="2">
                  <c:v>1531</c:v>
                </c:pt>
                <c:pt idx="3">
                  <c:v>1592</c:v>
                </c:pt>
                <c:pt idx="4">
                  <c:v>1257</c:v>
                </c:pt>
                <c:pt idx="5">
                  <c:v>1531</c:v>
                </c:pt>
                <c:pt idx="6">
                  <c:v>1240</c:v>
                </c:pt>
                <c:pt idx="7">
                  <c:v>1154</c:v>
                </c:pt>
                <c:pt idx="8">
                  <c:v>1457</c:v>
                </c:pt>
                <c:pt idx="9">
                  <c:v>1184</c:v>
                </c:pt>
                <c:pt idx="10">
                  <c:v>1647</c:v>
                </c:pt>
                <c:pt idx="11">
                  <c:v>2015</c:v>
                </c:pt>
              </c:numCache>
            </c:numRef>
          </c:val>
          <c:smooth val="0"/>
          <c:extLst>
            <c:ext xmlns:c16="http://schemas.microsoft.com/office/drawing/2014/chart" uri="{C3380CC4-5D6E-409C-BE32-E72D297353CC}">
              <c16:uniqueId val="{00000001-5310-41CB-A47E-4544D38855C2}"/>
            </c:ext>
          </c:extLst>
        </c:ser>
        <c:dLbls>
          <c:showLegendKey val="0"/>
          <c:showVal val="0"/>
          <c:showCatName val="0"/>
          <c:showSerName val="0"/>
          <c:showPercent val="0"/>
          <c:showBubbleSize val="0"/>
        </c:dLbls>
        <c:smooth val="0"/>
        <c:axId val="1730767839"/>
        <c:axId val="1730764959"/>
      </c:lineChart>
      <c:catAx>
        <c:axId val="1730767839"/>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800" b="0" i="0" u="none" strike="noStrike" kern="1200" baseline="0">
                <a:ln>
                  <a:noFill/>
                </a:ln>
                <a:solidFill>
                  <a:schemeClr val="tx1">
                    <a:lumMod val="65000"/>
                    <a:lumOff val="35000"/>
                  </a:schemeClr>
                </a:solidFill>
                <a:latin typeface="+mn-lt"/>
                <a:ea typeface="+mn-ea"/>
                <a:cs typeface="+mn-cs"/>
              </a:defRPr>
            </a:pPr>
            <a:endParaRPr lang="en-US"/>
          </a:p>
        </c:txPr>
        <c:crossAx val="1730764959"/>
        <c:crosses val="autoZero"/>
        <c:auto val="1"/>
        <c:lblAlgn val="ctr"/>
        <c:lblOffset val="100"/>
        <c:noMultiLvlLbl val="0"/>
      </c:catAx>
      <c:valAx>
        <c:axId val="173076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3076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60000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381AE51-9FC2-432A-B0FB-EF68232734CF}"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B0C248C-A94D-4871-A143-128DC2623195}"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4603-4B41-AADA-45F812F976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603-4B41-AADA-45F812F97662}"/>
              </c:ext>
            </c:extLst>
          </c:dPt>
          <c:dLbls>
            <c:dLbl>
              <c:idx val="0"/>
              <c:tx>
                <c:rich>
                  <a:bodyPr/>
                  <a:lstStyle/>
                  <a:p>
                    <a:fld id="{1381AE51-9FC2-432A-B0FB-EF68232734CF}"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603-4B41-AADA-45F812F97662}"/>
                </c:ext>
              </c:extLst>
            </c:dLbl>
            <c:dLbl>
              <c:idx val="1"/>
              <c:tx>
                <c:rich>
                  <a:bodyPr/>
                  <a:lstStyle/>
                  <a:p>
                    <a:fld id="{6B0C248C-A94D-4871-A143-128DC2623195}"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603-4B41-AADA-45F812F9766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kjss</c:v>
              </c:pt>
              <c:pt idx="1">
                <c:v>non kjss</c:v>
              </c:pt>
            </c:strLit>
          </c:cat>
          <c:val>
            <c:numLit>
              <c:formatCode>General</c:formatCode>
              <c:ptCount val="2"/>
              <c:pt idx="0">
                <c:v>2621</c:v>
              </c:pt>
              <c:pt idx="1">
                <c:v>16848</c:v>
              </c:pt>
            </c:numLit>
          </c:val>
          <c:extLst>
            <c:ext xmlns:c16="http://schemas.microsoft.com/office/drawing/2014/chart" uri="{C3380CC4-5D6E-409C-BE32-E72D297353CC}">
              <c16:uniqueId val="{00000000-4603-4B41-AADA-45F812F9766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[Patient_Data.xlsx]bodycheckup_pivot!PivotTable4</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718E259-BDDE-4F4E-AC90-874027A9D77C}"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28495B0-691F-49C3-9F20-E44AC660935D}"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bodycheckup_pivot!$H$56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C97-443E-A260-A5ECF43AE0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C97-443E-A260-A5ECF43AE0B3}"/>
              </c:ext>
            </c:extLst>
          </c:dPt>
          <c:dLbls>
            <c:dLbl>
              <c:idx val="0"/>
              <c:tx>
                <c:rich>
                  <a:bodyPr/>
                  <a:lstStyle/>
                  <a:p>
                    <a:fld id="{1718E259-BDDE-4F4E-AC90-874027A9D77C}"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C97-443E-A260-A5ECF43AE0B3}"/>
                </c:ext>
              </c:extLst>
            </c:dLbl>
            <c:dLbl>
              <c:idx val="1"/>
              <c:tx>
                <c:rich>
                  <a:bodyPr/>
                  <a:lstStyle/>
                  <a:p>
                    <a:fld id="{228495B0-691F-49C3-9F20-E44AC660935D}"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C97-443E-A260-A5ECF43AE0B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bodycheckup_pivot!$G$57:$G$59</c:f>
              <c:strCache>
                <c:ptCount val="2"/>
                <c:pt idx="0">
                  <c:v>kjss</c:v>
                </c:pt>
                <c:pt idx="1">
                  <c:v>non kjss</c:v>
                </c:pt>
              </c:strCache>
            </c:strRef>
          </c:cat>
          <c:val>
            <c:numRef>
              <c:f>bodycheckup_pivot!$H$57:$H$59</c:f>
              <c:numCache>
                <c:formatCode>General</c:formatCode>
                <c:ptCount val="2"/>
                <c:pt idx="0">
                  <c:v>2696</c:v>
                </c:pt>
                <c:pt idx="1">
                  <c:v>17464</c:v>
                </c:pt>
              </c:numCache>
            </c:numRef>
          </c:val>
          <c:extLst>
            <c:ext xmlns:c16="http://schemas.microsoft.com/office/drawing/2014/chart" uri="{C3380CC4-5D6E-409C-BE32-E72D297353CC}">
              <c16:uniqueId val="{00000000-5C97-443E-A260-A5ECF43AE0B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[Patient_Data.xlsx]bodycheckup_pivot!PivotTable1</c:name>
    <c:fmtId val="43"/>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IN" sz="1100">
                <a:solidFill>
                  <a:schemeClr val="tx1"/>
                </a:solidFill>
              </a:rPr>
              <a:t>Yearly</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bodycheckup_pivot!$B$3</c:f>
              <c:strCache>
                <c:ptCount val="1"/>
                <c:pt idx="0">
                  <c:v>kjss count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bodycheckup_pivot!$A$4:$A$9</c:f>
              <c:strCache>
                <c:ptCount val="5"/>
                <c:pt idx="0">
                  <c:v>2021-22</c:v>
                </c:pt>
                <c:pt idx="1">
                  <c:v>2022-23</c:v>
                </c:pt>
                <c:pt idx="2">
                  <c:v>2023-24</c:v>
                </c:pt>
                <c:pt idx="3">
                  <c:v>2024-25</c:v>
                </c:pt>
                <c:pt idx="4">
                  <c:v>2025-26</c:v>
                </c:pt>
              </c:strCache>
            </c:strRef>
          </c:cat>
          <c:val>
            <c:numRef>
              <c:f>bodycheckup_pivot!$B$4:$B$9</c:f>
              <c:numCache>
                <c:formatCode>General</c:formatCode>
                <c:ptCount val="5"/>
                <c:pt idx="0">
                  <c:v>412</c:v>
                </c:pt>
                <c:pt idx="1">
                  <c:v>573</c:v>
                </c:pt>
                <c:pt idx="2">
                  <c:v>592</c:v>
                </c:pt>
                <c:pt idx="3">
                  <c:v>563</c:v>
                </c:pt>
                <c:pt idx="4">
                  <c:v>556</c:v>
                </c:pt>
              </c:numCache>
            </c:numRef>
          </c:val>
          <c:extLst>
            <c:ext xmlns:c16="http://schemas.microsoft.com/office/drawing/2014/chart" uri="{C3380CC4-5D6E-409C-BE32-E72D297353CC}">
              <c16:uniqueId val="{0000003E-32CF-49BF-A6D3-64EC56AC684D}"/>
            </c:ext>
          </c:extLst>
        </c:ser>
        <c:ser>
          <c:idx val="1"/>
          <c:order val="1"/>
          <c:tx>
            <c:strRef>
              <c:f>bodycheckup_pivot!$C$3</c:f>
              <c:strCache>
                <c:ptCount val="1"/>
                <c:pt idx="0">
                  <c:v>Non kjss count </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bodycheckup_pivot!$A$4:$A$9</c:f>
              <c:strCache>
                <c:ptCount val="5"/>
                <c:pt idx="0">
                  <c:v>2021-22</c:v>
                </c:pt>
                <c:pt idx="1">
                  <c:v>2022-23</c:v>
                </c:pt>
                <c:pt idx="2">
                  <c:v>2023-24</c:v>
                </c:pt>
                <c:pt idx="3">
                  <c:v>2024-25</c:v>
                </c:pt>
                <c:pt idx="4">
                  <c:v>2025-26</c:v>
                </c:pt>
              </c:strCache>
            </c:strRef>
          </c:cat>
          <c:val>
            <c:numRef>
              <c:f>bodycheckup_pivot!$C$4:$C$9</c:f>
              <c:numCache>
                <c:formatCode>General</c:formatCode>
                <c:ptCount val="5"/>
                <c:pt idx="0">
                  <c:v>3304</c:v>
                </c:pt>
                <c:pt idx="1">
                  <c:v>3733</c:v>
                </c:pt>
                <c:pt idx="2">
                  <c:v>3815</c:v>
                </c:pt>
                <c:pt idx="3">
                  <c:v>3580</c:v>
                </c:pt>
                <c:pt idx="4">
                  <c:v>3032</c:v>
                </c:pt>
              </c:numCache>
            </c:numRef>
          </c:val>
          <c:extLst>
            <c:ext xmlns:c16="http://schemas.microsoft.com/office/drawing/2014/chart" uri="{C3380CC4-5D6E-409C-BE32-E72D297353CC}">
              <c16:uniqueId val="{0000003F-32CF-49BF-A6D3-64EC56AC684D}"/>
            </c:ext>
          </c:extLst>
        </c:ser>
        <c:dLbls>
          <c:dLblPos val="outEnd"/>
          <c:showLegendKey val="0"/>
          <c:showVal val="1"/>
          <c:showCatName val="0"/>
          <c:showSerName val="0"/>
          <c:showPercent val="0"/>
          <c:showBubbleSize val="0"/>
        </c:dLbls>
        <c:gapWidth val="219"/>
        <c:overlap val="-27"/>
        <c:axId val="1390449023"/>
        <c:axId val="1390450463"/>
      </c:barChart>
      <c:catAx>
        <c:axId val="139044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0450463"/>
        <c:crosses val="autoZero"/>
        <c:auto val="1"/>
        <c:lblAlgn val="ctr"/>
        <c:lblOffset val="100"/>
        <c:noMultiLvlLbl val="0"/>
      </c:catAx>
      <c:valAx>
        <c:axId val="139045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044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[Patient_Data.xlsx]bodycheckup_pivot!PivotTable2</c:name>
    <c:fmtId val="18"/>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IN" sz="1100"/>
              <a:t>Monthly</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bodycheckup_pivot!$H$3</c:f>
              <c:strCache>
                <c:ptCount val="1"/>
                <c:pt idx="0">
                  <c:v>kjss count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bodycheckup_pivot!$G$4:$G$28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bodycheckup_pivot!$H$4:$H$28</c:f>
              <c:numCache>
                <c:formatCode>General</c:formatCode>
                <c:ptCount val="12"/>
                <c:pt idx="0">
                  <c:v>148</c:v>
                </c:pt>
                <c:pt idx="1">
                  <c:v>200</c:v>
                </c:pt>
                <c:pt idx="2">
                  <c:v>177</c:v>
                </c:pt>
                <c:pt idx="3">
                  <c:v>170</c:v>
                </c:pt>
                <c:pt idx="4">
                  <c:v>196</c:v>
                </c:pt>
                <c:pt idx="5">
                  <c:v>142</c:v>
                </c:pt>
                <c:pt idx="6">
                  <c:v>139</c:v>
                </c:pt>
                <c:pt idx="7">
                  <c:v>146</c:v>
                </c:pt>
                <c:pt idx="8">
                  <c:v>212</c:v>
                </c:pt>
                <c:pt idx="9">
                  <c:v>192</c:v>
                </c:pt>
                <c:pt idx="10">
                  <c:v>332</c:v>
                </c:pt>
                <c:pt idx="11">
                  <c:v>642</c:v>
                </c:pt>
              </c:numCache>
            </c:numRef>
          </c:val>
          <c:smooth val="0"/>
          <c:extLst>
            <c:ext xmlns:c16="http://schemas.microsoft.com/office/drawing/2014/chart" uri="{C3380CC4-5D6E-409C-BE32-E72D297353CC}">
              <c16:uniqueId val="{00000000-B35C-45E4-816F-C7D57AE66251}"/>
            </c:ext>
          </c:extLst>
        </c:ser>
        <c:ser>
          <c:idx val="1"/>
          <c:order val="1"/>
          <c:tx>
            <c:strRef>
              <c:f>bodycheckup_pivot!$I$3</c:f>
              <c:strCache>
                <c:ptCount val="1"/>
                <c:pt idx="0">
                  <c:v>Non kjss count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bodycheckup_pivot!$G$4:$G$28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bodycheckup_pivot!$I$4:$I$28</c:f>
              <c:numCache>
                <c:formatCode>General</c:formatCode>
                <c:ptCount val="12"/>
                <c:pt idx="0">
                  <c:v>1436</c:v>
                </c:pt>
                <c:pt idx="1">
                  <c:v>1420</c:v>
                </c:pt>
                <c:pt idx="2">
                  <c:v>1531</c:v>
                </c:pt>
                <c:pt idx="3">
                  <c:v>1592</c:v>
                </c:pt>
                <c:pt idx="4">
                  <c:v>1257</c:v>
                </c:pt>
                <c:pt idx="5">
                  <c:v>1531</c:v>
                </c:pt>
                <c:pt idx="6">
                  <c:v>1240</c:v>
                </c:pt>
                <c:pt idx="7">
                  <c:v>1154</c:v>
                </c:pt>
                <c:pt idx="8">
                  <c:v>1457</c:v>
                </c:pt>
                <c:pt idx="9">
                  <c:v>1184</c:v>
                </c:pt>
                <c:pt idx="10">
                  <c:v>1647</c:v>
                </c:pt>
                <c:pt idx="11">
                  <c:v>2015</c:v>
                </c:pt>
              </c:numCache>
            </c:numRef>
          </c:val>
          <c:smooth val="0"/>
          <c:extLst>
            <c:ext xmlns:c16="http://schemas.microsoft.com/office/drawing/2014/chart" uri="{C3380CC4-5D6E-409C-BE32-E72D297353CC}">
              <c16:uniqueId val="{00000001-B35C-45E4-816F-C7D57AE66251}"/>
            </c:ext>
          </c:extLst>
        </c:ser>
        <c:dLbls>
          <c:dLblPos val="t"/>
          <c:showLegendKey val="0"/>
          <c:showVal val="1"/>
          <c:showCatName val="0"/>
          <c:showSerName val="0"/>
          <c:showPercent val="0"/>
          <c:showBubbleSize val="0"/>
        </c:dLbls>
        <c:smooth val="0"/>
        <c:axId val="1730767839"/>
        <c:axId val="1730764959"/>
      </c:lineChart>
      <c:catAx>
        <c:axId val="1730767839"/>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730764959"/>
        <c:crosses val="autoZero"/>
        <c:auto val="1"/>
        <c:lblAlgn val="ctr"/>
        <c:lblOffset val="100"/>
        <c:noMultiLvlLbl val="0"/>
      </c:catAx>
      <c:valAx>
        <c:axId val="173076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3076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600000"/>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[Patient_Data.xlsx]bodycheckup_pivot!PivotTable4</c:name>
    <c:fmtId val="9"/>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solidFill>
                  <a:schemeClr val="tx1"/>
                </a:solidFill>
              </a:rPr>
              <a:t>Yearly</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718E259-BDDE-4F4E-AC90-874027A9D77C}"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28495B0-691F-49C3-9F20-E44AC660935D}"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718E259-BDDE-4F4E-AC90-874027A9D77C}"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28495B0-691F-49C3-9F20-E44AC660935D}"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718E259-BDDE-4F4E-AC90-874027A9D77C}"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28495B0-691F-49C3-9F20-E44AC660935D}"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bodycheckup_pivot!$H$56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CAC-4A2E-9EBB-B1EC97AEF58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CAC-4A2E-9EBB-B1EC97AEF588}"/>
              </c:ext>
            </c:extLst>
          </c:dPt>
          <c:dLbls>
            <c:dLbl>
              <c:idx val="0"/>
              <c:tx>
                <c:rich>
                  <a:bodyPr/>
                  <a:lstStyle/>
                  <a:p>
                    <a:fld id="{1718E259-BDDE-4F4E-AC90-874027A9D77C}"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CAC-4A2E-9EBB-B1EC97AEF588}"/>
                </c:ext>
              </c:extLst>
            </c:dLbl>
            <c:dLbl>
              <c:idx val="1"/>
              <c:tx>
                <c:rich>
                  <a:bodyPr/>
                  <a:lstStyle/>
                  <a:p>
                    <a:fld id="{228495B0-691F-49C3-9F20-E44AC660935D}"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CAC-4A2E-9EBB-B1EC97AEF58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bodycheckup_pivot!$G$57:$G$59</c:f>
              <c:strCache>
                <c:ptCount val="2"/>
                <c:pt idx="0">
                  <c:v>kjss</c:v>
                </c:pt>
                <c:pt idx="1">
                  <c:v>non kjss</c:v>
                </c:pt>
              </c:strCache>
            </c:strRef>
          </c:cat>
          <c:val>
            <c:numRef>
              <c:f>bodycheckup_pivot!$H$57:$H$59</c:f>
              <c:numCache>
                <c:formatCode>General</c:formatCode>
                <c:ptCount val="2"/>
                <c:pt idx="0">
                  <c:v>2696</c:v>
                </c:pt>
                <c:pt idx="1">
                  <c:v>17464</c:v>
                </c:pt>
              </c:numCache>
            </c:numRef>
          </c:val>
          <c:extLst>
            <c:ext xmlns:c16="http://schemas.microsoft.com/office/drawing/2014/chart" uri="{C3380CC4-5D6E-409C-BE32-E72D297353CC}">
              <c16:uniqueId val="{00000004-1CAC-4A2E-9EBB-B1EC97AEF58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[Patient_Data.xlsx]mamography_pivot!PivotTable1</c:name>
    <c:fmtId val="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a:t>Yearly</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mamography_pivot!$B$1</c:f>
              <c:strCache>
                <c:ptCount val="1"/>
                <c:pt idx="0">
                  <c:v>kjss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mamography_pivot!$A$2:$A$7</c:f>
              <c:strCache>
                <c:ptCount val="5"/>
                <c:pt idx="0">
                  <c:v>2021-22</c:v>
                </c:pt>
                <c:pt idx="1">
                  <c:v>2022-23</c:v>
                </c:pt>
                <c:pt idx="2">
                  <c:v>2023-24</c:v>
                </c:pt>
                <c:pt idx="3">
                  <c:v>2024-25</c:v>
                </c:pt>
                <c:pt idx="4">
                  <c:v>2025-26</c:v>
                </c:pt>
              </c:strCache>
            </c:strRef>
          </c:cat>
          <c:val>
            <c:numRef>
              <c:f>mamography_pivot!$B$2:$B$7</c:f>
              <c:numCache>
                <c:formatCode>General</c:formatCode>
                <c:ptCount val="5"/>
                <c:pt idx="0">
                  <c:v>0</c:v>
                </c:pt>
                <c:pt idx="1">
                  <c:v>149</c:v>
                </c:pt>
                <c:pt idx="2">
                  <c:v>102</c:v>
                </c:pt>
                <c:pt idx="3">
                  <c:v>42</c:v>
                </c:pt>
                <c:pt idx="4">
                  <c:v>40</c:v>
                </c:pt>
              </c:numCache>
            </c:numRef>
          </c:val>
          <c:extLst>
            <c:ext xmlns:c16="http://schemas.microsoft.com/office/drawing/2014/chart" uri="{C3380CC4-5D6E-409C-BE32-E72D297353CC}">
              <c16:uniqueId val="{00000000-460E-4AC1-9F30-A9B858E643A1}"/>
            </c:ext>
          </c:extLst>
        </c:ser>
        <c:ser>
          <c:idx val="1"/>
          <c:order val="1"/>
          <c:tx>
            <c:strRef>
              <c:f>mamography_pivot!$C$1</c:f>
              <c:strCache>
                <c:ptCount val="1"/>
                <c:pt idx="0">
                  <c:v>non kjss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mamography_pivot!$A$2:$A$7</c:f>
              <c:strCache>
                <c:ptCount val="5"/>
                <c:pt idx="0">
                  <c:v>2021-22</c:v>
                </c:pt>
                <c:pt idx="1">
                  <c:v>2022-23</c:v>
                </c:pt>
                <c:pt idx="2">
                  <c:v>2023-24</c:v>
                </c:pt>
                <c:pt idx="3">
                  <c:v>2024-25</c:v>
                </c:pt>
                <c:pt idx="4">
                  <c:v>2025-26</c:v>
                </c:pt>
              </c:strCache>
            </c:strRef>
          </c:cat>
          <c:val>
            <c:numRef>
              <c:f>mamography_pivot!$C$2:$C$7</c:f>
              <c:numCache>
                <c:formatCode>General</c:formatCode>
                <c:ptCount val="5"/>
                <c:pt idx="0">
                  <c:v>0</c:v>
                </c:pt>
                <c:pt idx="1">
                  <c:v>138</c:v>
                </c:pt>
                <c:pt idx="2">
                  <c:v>288</c:v>
                </c:pt>
                <c:pt idx="3">
                  <c:v>420</c:v>
                </c:pt>
                <c:pt idx="4">
                  <c:v>359</c:v>
                </c:pt>
              </c:numCache>
            </c:numRef>
          </c:val>
          <c:extLst>
            <c:ext xmlns:c16="http://schemas.microsoft.com/office/drawing/2014/chart" uri="{C3380CC4-5D6E-409C-BE32-E72D297353CC}">
              <c16:uniqueId val="{00000001-460E-4AC1-9F30-A9B858E643A1}"/>
            </c:ext>
          </c:extLst>
        </c:ser>
        <c:dLbls>
          <c:dLblPos val="outEnd"/>
          <c:showLegendKey val="0"/>
          <c:showVal val="1"/>
          <c:showCatName val="0"/>
          <c:showSerName val="0"/>
          <c:showPercent val="0"/>
          <c:showBubbleSize val="0"/>
        </c:dLbls>
        <c:gapWidth val="219"/>
        <c:overlap val="-27"/>
        <c:axId val="1749430064"/>
        <c:axId val="1749431024"/>
      </c:barChart>
      <c:catAx>
        <c:axId val="174943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431024"/>
        <c:crosses val="autoZero"/>
        <c:auto val="1"/>
        <c:lblAlgn val="ctr"/>
        <c:lblOffset val="100"/>
        <c:noMultiLvlLbl val="0"/>
      </c:catAx>
      <c:valAx>
        <c:axId val="174943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43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[Patient_Data.xlsx]mamography_pivot!PivotTable2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mamography_pivot!$H$1</c:f>
              <c:strCache>
                <c:ptCount val="1"/>
                <c:pt idx="0">
                  <c:v>kjss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mamography_pivot!$G$2:$G$26</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mamography_pivot!$H$2:$H$26</c:f>
              <c:numCache>
                <c:formatCode>General</c:formatCode>
                <c:ptCount val="12"/>
                <c:pt idx="0">
                  <c:v>11</c:v>
                </c:pt>
                <c:pt idx="1">
                  <c:v>8</c:v>
                </c:pt>
                <c:pt idx="2">
                  <c:v>15</c:v>
                </c:pt>
                <c:pt idx="3">
                  <c:v>10</c:v>
                </c:pt>
                <c:pt idx="4">
                  <c:v>7</c:v>
                </c:pt>
                <c:pt idx="5">
                  <c:v>59</c:v>
                </c:pt>
                <c:pt idx="6">
                  <c:v>126</c:v>
                </c:pt>
                <c:pt idx="7">
                  <c:v>19</c:v>
                </c:pt>
                <c:pt idx="8">
                  <c:v>15</c:v>
                </c:pt>
                <c:pt idx="9">
                  <c:v>11</c:v>
                </c:pt>
                <c:pt idx="10">
                  <c:v>26</c:v>
                </c:pt>
                <c:pt idx="11">
                  <c:v>26</c:v>
                </c:pt>
              </c:numCache>
            </c:numRef>
          </c:val>
          <c:extLst>
            <c:ext xmlns:c16="http://schemas.microsoft.com/office/drawing/2014/chart" uri="{C3380CC4-5D6E-409C-BE32-E72D297353CC}">
              <c16:uniqueId val="{0000001F-F34D-4F1A-A8F6-18451EB02BBC}"/>
            </c:ext>
          </c:extLst>
        </c:ser>
        <c:ser>
          <c:idx val="1"/>
          <c:order val="1"/>
          <c:tx>
            <c:strRef>
              <c:f>mamography_pivot!$I$1</c:f>
              <c:strCache>
                <c:ptCount val="1"/>
                <c:pt idx="0">
                  <c:v>non kjss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mamography_pivot!$G$2:$G$26</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mamography_pivot!$I$2:$I$26</c:f>
              <c:numCache>
                <c:formatCode>General</c:formatCode>
                <c:ptCount val="12"/>
                <c:pt idx="0">
                  <c:v>91</c:v>
                </c:pt>
                <c:pt idx="1">
                  <c:v>90</c:v>
                </c:pt>
                <c:pt idx="2">
                  <c:v>91</c:v>
                </c:pt>
                <c:pt idx="3">
                  <c:v>106</c:v>
                </c:pt>
                <c:pt idx="4">
                  <c:v>84</c:v>
                </c:pt>
                <c:pt idx="5">
                  <c:v>183</c:v>
                </c:pt>
                <c:pt idx="6">
                  <c:v>109</c:v>
                </c:pt>
                <c:pt idx="7">
                  <c:v>82</c:v>
                </c:pt>
                <c:pt idx="8">
                  <c:v>94</c:v>
                </c:pt>
                <c:pt idx="9">
                  <c:v>62</c:v>
                </c:pt>
                <c:pt idx="10">
                  <c:v>99</c:v>
                </c:pt>
                <c:pt idx="11">
                  <c:v>114</c:v>
                </c:pt>
              </c:numCache>
            </c:numRef>
          </c:val>
          <c:extLst>
            <c:ext xmlns:c16="http://schemas.microsoft.com/office/drawing/2014/chart" uri="{C3380CC4-5D6E-409C-BE32-E72D297353CC}">
              <c16:uniqueId val="{00000023-F34D-4F1A-A8F6-18451EB02BBC}"/>
            </c:ext>
          </c:extLst>
        </c:ser>
        <c:dLbls>
          <c:showLegendKey val="0"/>
          <c:showVal val="1"/>
          <c:showCatName val="0"/>
          <c:showSerName val="0"/>
          <c:showPercent val="0"/>
          <c:showBubbleSize val="0"/>
        </c:dLbls>
        <c:gapWidth val="219"/>
        <c:overlap val="-27"/>
        <c:axId val="1532246192"/>
        <c:axId val="1794425824"/>
      </c:barChart>
      <c:catAx>
        <c:axId val="153224619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425824"/>
        <c:crosses val="autoZero"/>
        <c:auto val="1"/>
        <c:lblAlgn val="ctr"/>
        <c:lblOffset val="1"/>
        <c:noMultiLvlLbl val="0"/>
      </c:catAx>
      <c:valAx>
        <c:axId val="179442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24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[Patient_Data.xlsx]mamography_pivot!PivotTable2</c:name>
    <c:fmtId val="35"/>
  </c:pivotSource>
  <c:chart>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mamography_pivot!$H$1</c:f>
              <c:strCache>
                <c:ptCount val="1"/>
                <c:pt idx="0">
                  <c:v>kjss 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mamography_pivot!$G$2:$G$26</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mamography_pivot!$H$2:$H$26</c:f>
              <c:numCache>
                <c:formatCode>General</c:formatCode>
                <c:ptCount val="12"/>
                <c:pt idx="0">
                  <c:v>11</c:v>
                </c:pt>
                <c:pt idx="1">
                  <c:v>8</c:v>
                </c:pt>
                <c:pt idx="2">
                  <c:v>15</c:v>
                </c:pt>
                <c:pt idx="3">
                  <c:v>10</c:v>
                </c:pt>
                <c:pt idx="4">
                  <c:v>7</c:v>
                </c:pt>
                <c:pt idx="5">
                  <c:v>59</c:v>
                </c:pt>
                <c:pt idx="6">
                  <c:v>126</c:v>
                </c:pt>
                <c:pt idx="7">
                  <c:v>19</c:v>
                </c:pt>
                <c:pt idx="8">
                  <c:v>15</c:v>
                </c:pt>
                <c:pt idx="9">
                  <c:v>11</c:v>
                </c:pt>
                <c:pt idx="10">
                  <c:v>26</c:v>
                </c:pt>
                <c:pt idx="11">
                  <c:v>26</c:v>
                </c:pt>
              </c:numCache>
            </c:numRef>
          </c:val>
          <c:extLst>
            <c:ext xmlns:c16="http://schemas.microsoft.com/office/drawing/2014/chart" uri="{C3380CC4-5D6E-409C-BE32-E72D297353CC}">
              <c16:uniqueId val="{00000000-D58E-4E87-85FD-3FA0E36B853F}"/>
            </c:ext>
          </c:extLst>
        </c:ser>
        <c:dLbls>
          <c:showLegendKey val="0"/>
          <c:showVal val="1"/>
          <c:showCatName val="0"/>
          <c:showSerName val="0"/>
          <c:showPercent val="0"/>
          <c:showBubbleSize val="0"/>
        </c:dLbls>
        <c:gapWidth val="150"/>
        <c:axId val="1881552800"/>
        <c:axId val="1881553280"/>
      </c:barChart>
      <c:lineChart>
        <c:grouping val="standard"/>
        <c:varyColors val="0"/>
        <c:ser>
          <c:idx val="1"/>
          <c:order val="1"/>
          <c:tx>
            <c:strRef>
              <c:f>mamography_pivot!$I$1</c:f>
              <c:strCache>
                <c:ptCount val="1"/>
                <c:pt idx="0">
                  <c:v>non kjss count</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mamography_pivot!$G$2:$G$26</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mamography_pivot!$I$2:$I$26</c:f>
              <c:numCache>
                <c:formatCode>General</c:formatCode>
                <c:ptCount val="12"/>
                <c:pt idx="0">
                  <c:v>91</c:v>
                </c:pt>
                <c:pt idx="1">
                  <c:v>90</c:v>
                </c:pt>
                <c:pt idx="2">
                  <c:v>91</c:v>
                </c:pt>
                <c:pt idx="3">
                  <c:v>106</c:v>
                </c:pt>
                <c:pt idx="4">
                  <c:v>84</c:v>
                </c:pt>
                <c:pt idx="5">
                  <c:v>183</c:v>
                </c:pt>
                <c:pt idx="6">
                  <c:v>109</c:v>
                </c:pt>
                <c:pt idx="7">
                  <c:v>82</c:v>
                </c:pt>
                <c:pt idx="8">
                  <c:v>94</c:v>
                </c:pt>
                <c:pt idx="9">
                  <c:v>62</c:v>
                </c:pt>
                <c:pt idx="10">
                  <c:v>99</c:v>
                </c:pt>
                <c:pt idx="11">
                  <c:v>114</c:v>
                </c:pt>
              </c:numCache>
            </c:numRef>
          </c:val>
          <c:smooth val="0"/>
          <c:extLst>
            <c:ext xmlns:c16="http://schemas.microsoft.com/office/drawing/2014/chart" uri="{C3380CC4-5D6E-409C-BE32-E72D297353CC}">
              <c16:uniqueId val="{00000004-D58E-4E87-85FD-3FA0E36B853F}"/>
            </c:ext>
          </c:extLst>
        </c:ser>
        <c:dLbls>
          <c:showLegendKey val="0"/>
          <c:showVal val="0"/>
          <c:showCatName val="0"/>
          <c:showSerName val="0"/>
          <c:showPercent val="0"/>
          <c:showBubbleSize val="0"/>
        </c:dLbls>
        <c:marker val="1"/>
        <c:smooth val="0"/>
        <c:axId val="1881552800"/>
        <c:axId val="1881553280"/>
      </c:lineChart>
      <c:catAx>
        <c:axId val="18815528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2"/>
                </a:solidFill>
                <a:latin typeface="+mn-lt"/>
                <a:ea typeface="+mn-ea"/>
                <a:cs typeface="+mn-cs"/>
              </a:defRPr>
            </a:pPr>
            <a:endParaRPr lang="en-US"/>
          </a:p>
        </c:txPr>
        <c:crossAx val="1881553280"/>
        <c:crosses val="autoZero"/>
        <c:auto val="1"/>
        <c:lblAlgn val="ctr"/>
        <c:lblOffset val="100"/>
        <c:noMultiLvlLbl val="0"/>
      </c:catAx>
      <c:valAx>
        <c:axId val="18815532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8155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mamography_pivot!$B$25</c:f>
              <c:strCache>
                <c:ptCount val="1"/>
                <c:pt idx="0">
                  <c:v>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F58-43FE-A2D0-514C56FACEC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DF58-43FE-A2D0-514C56FACECB}"/>
              </c:ext>
            </c:extLst>
          </c:dPt>
          <c:dLbls>
            <c:dLbl>
              <c:idx val="0"/>
              <c:tx>
                <c:rich>
                  <a:bodyPr/>
                  <a:lstStyle/>
                  <a:p>
                    <a:fld id="{7DBECA53-ABBF-41EE-812B-5FE0D375D0EA}"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F58-43FE-A2D0-514C56FACECB}"/>
                </c:ext>
              </c:extLst>
            </c:dLbl>
            <c:dLbl>
              <c:idx val="1"/>
              <c:tx>
                <c:rich>
                  <a:bodyPr/>
                  <a:lstStyle/>
                  <a:p>
                    <a:fld id="{4C56B0F6-62DE-4C96-AE38-29579F944209}"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F58-43FE-A2D0-514C56FACECB}"/>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mamography_pivot!$A$26:$A$27</c:f>
              <c:strCache>
                <c:ptCount val="2"/>
                <c:pt idx="0">
                  <c:v>kjss</c:v>
                </c:pt>
                <c:pt idx="1">
                  <c:v>non kjss</c:v>
                </c:pt>
              </c:strCache>
            </c:strRef>
          </c:cat>
          <c:val>
            <c:numRef>
              <c:f>mamography_pivot!$B$26:$B$27</c:f>
              <c:numCache>
                <c:formatCode>General</c:formatCode>
                <c:ptCount val="2"/>
                <c:pt idx="0">
                  <c:v>333</c:v>
                </c:pt>
                <c:pt idx="1">
                  <c:v>1174</c:v>
                </c:pt>
              </c:numCache>
            </c:numRef>
          </c:val>
          <c:extLst>
            <c:ext xmlns:c16="http://schemas.microsoft.com/office/drawing/2014/chart" uri="{C3380CC4-5D6E-409C-BE32-E72D297353CC}">
              <c16:uniqueId val="{00000000-DF58-43FE-A2D0-514C56FACEC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tx1">
          <a:lumMod val="65000"/>
          <a:lumOff val="35000"/>
        </a:schemeClr>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[Patient_Data.xlsx]mamography_pivot!PivotTable5</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E02F0B2-9E1C-4227-8037-8DB9F7EC5A6A}"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58F3494-7149-4CA8-B1A4-947C06D8ABBF}"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mamography_pivot!$B$43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2F6D-4B0A-BEB6-2D6D4880E84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F6D-4B0A-BEB6-2D6D4880E845}"/>
              </c:ext>
            </c:extLst>
          </c:dPt>
          <c:dLbls>
            <c:dLbl>
              <c:idx val="0"/>
              <c:tx>
                <c:rich>
                  <a:bodyPr/>
                  <a:lstStyle/>
                  <a:p>
                    <a:fld id="{5E02F0B2-9E1C-4227-8037-8DB9F7EC5A6A}"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2F6D-4B0A-BEB6-2D6D4880E845}"/>
                </c:ext>
              </c:extLst>
            </c:dLbl>
            <c:dLbl>
              <c:idx val="1"/>
              <c:tx>
                <c:rich>
                  <a:bodyPr/>
                  <a:lstStyle/>
                  <a:p>
                    <a:fld id="{758F3494-7149-4CA8-B1A4-947C06D8ABBF}"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F6D-4B0A-BEB6-2D6D4880E84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mamography_pivot!$A$44:$A$46</c:f>
              <c:strCache>
                <c:ptCount val="2"/>
                <c:pt idx="0">
                  <c:v>kjss</c:v>
                </c:pt>
                <c:pt idx="1">
                  <c:v>non kjss</c:v>
                </c:pt>
              </c:strCache>
            </c:strRef>
          </c:cat>
          <c:val>
            <c:numRef>
              <c:f>mamography_pivot!$B$44:$B$46</c:f>
              <c:numCache>
                <c:formatCode>General</c:formatCode>
                <c:ptCount val="2"/>
                <c:pt idx="0">
                  <c:v>333</c:v>
                </c:pt>
                <c:pt idx="1">
                  <c:v>1205</c:v>
                </c:pt>
              </c:numCache>
            </c:numRef>
          </c:val>
          <c:extLst>
            <c:ext xmlns:c16="http://schemas.microsoft.com/office/drawing/2014/chart" uri="{C3380CC4-5D6E-409C-BE32-E72D297353CC}">
              <c16:uniqueId val="{00000000-2F6D-4B0A-BEB6-2D6D4880E84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ysClr val="windowText" lastClr="000000">
          <a:lumMod val="75000"/>
          <a:lumOff val="25000"/>
        </a:sysClr>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[Patient_Data.xlsx]mamography_pivot!PivotTable1</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a:t>Yearly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mamography_pivot!$B$1</c:f>
              <c:strCache>
                <c:ptCount val="1"/>
                <c:pt idx="0">
                  <c:v>kjss count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mamography_pivot!$A$2:$A$7</c:f>
              <c:strCache>
                <c:ptCount val="5"/>
                <c:pt idx="0">
                  <c:v>2021-22</c:v>
                </c:pt>
                <c:pt idx="1">
                  <c:v>2022-23</c:v>
                </c:pt>
                <c:pt idx="2">
                  <c:v>2023-24</c:v>
                </c:pt>
                <c:pt idx="3">
                  <c:v>2024-25</c:v>
                </c:pt>
                <c:pt idx="4">
                  <c:v>2025-26</c:v>
                </c:pt>
              </c:strCache>
            </c:strRef>
          </c:cat>
          <c:val>
            <c:numRef>
              <c:f>mamography_pivot!$B$2:$B$7</c:f>
              <c:numCache>
                <c:formatCode>General</c:formatCode>
                <c:ptCount val="5"/>
                <c:pt idx="0">
                  <c:v>0</c:v>
                </c:pt>
                <c:pt idx="1">
                  <c:v>149</c:v>
                </c:pt>
                <c:pt idx="2">
                  <c:v>102</c:v>
                </c:pt>
                <c:pt idx="3">
                  <c:v>42</c:v>
                </c:pt>
                <c:pt idx="4">
                  <c:v>40</c:v>
                </c:pt>
              </c:numCache>
            </c:numRef>
          </c:val>
          <c:extLst>
            <c:ext xmlns:c16="http://schemas.microsoft.com/office/drawing/2014/chart" uri="{C3380CC4-5D6E-409C-BE32-E72D297353CC}">
              <c16:uniqueId val="{00000000-A1C1-4728-9FC0-66738BBB8CCC}"/>
            </c:ext>
          </c:extLst>
        </c:ser>
        <c:ser>
          <c:idx val="1"/>
          <c:order val="1"/>
          <c:tx>
            <c:strRef>
              <c:f>mamography_pivot!$C$1</c:f>
              <c:strCache>
                <c:ptCount val="1"/>
                <c:pt idx="0">
                  <c:v>non kjss count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mamography_pivot!$A$2:$A$7</c:f>
              <c:strCache>
                <c:ptCount val="5"/>
                <c:pt idx="0">
                  <c:v>2021-22</c:v>
                </c:pt>
                <c:pt idx="1">
                  <c:v>2022-23</c:v>
                </c:pt>
                <c:pt idx="2">
                  <c:v>2023-24</c:v>
                </c:pt>
                <c:pt idx="3">
                  <c:v>2024-25</c:v>
                </c:pt>
                <c:pt idx="4">
                  <c:v>2025-26</c:v>
                </c:pt>
              </c:strCache>
            </c:strRef>
          </c:cat>
          <c:val>
            <c:numRef>
              <c:f>mamography_pivot!$C$2:$C$7</c:f>
              <c:numCache>
                <c:formatCode>General</c:formatCode>
                <c:ptCount val="5"/>
                <c:pt idx="0">
                  <c:v>0</c:v>
                </c:pt>
                <c:pt idx="1">
                  <c:v>138</c:v>
                </c:pt>
                <c:pt idx="2">
                  <c:v>288</c:v>
                </c:pt>
                <c:pt idx="3">
                  <c:v>420</c:v>
                </c:pt>
                <c:pt idx="4">
                  <c:v>359</c:v>
                </c:pt>
              </c:numCache>
            </c:numRef>
          </c:val>
          <c:extLst>
            <c:ext xmlns:c16="http://schemas.microsoft.com/office/drawing/2014/chart" uri="{C3380CC4-5D6E-409C-BE32-E72D297353CC}">
              <c16:uniqueId val="{00000001-A1C1-4728-9FC0-66738BBB8CCC}"/>
            </c:ext>
          </c:extLst>
        </c:ser>
        <c:dLbls>
          <c:dLblPos val="outEnd"/>
          <c:showLegendKey val="0"/>
          <c:showVal val="1"/>
          <c:showCatName val="0"/>
          <c:showSerName val="0"/>
          <c:showPercent val="0"/>
          <c:showBubbleSize val="0"/>
        </c:dLbls>
        <c:gapWidth val="219"/>
        <c:overlap val="-27"/>
        <c:axId val="1749430064"/>
        <c:axId val="1749431024"/>
      </c:barChart>
      <c:catAx>
        <c:axId val="174943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49431024"/>
        <c:crosses val="autoZero"/>
        <c:auto val="1"/>
        <c:lblAlgn val="ctr"/>
        <c:lblOffset val="100"/>
        <c:noMultiLvlLbl val="0"/>
      </c:catAx>
      <c:valAx>
        <c:axId val="174943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4943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[Patient_Data.xlsx]mamography_pivot!PivotTable2</c:name>
    <c:fmtId val="47"/>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a:t>Monthly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mamography_pivot!$H$1</c:f>
              <c:strCache>
                <c:ptCount val="1"/>
                <c:pt idx="0">
                  <c:v>kjss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mamography_pivot!$G$2:$G$26</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mamography_pivot!$H$2:$H$26</c:f>
              <c:numCache>
                <c:formatCode>General</c:formatCode>
                <c:ptCount val="12"/>
                <c:pt idx="0">
                  <c:v>11</c:v>
                </c:pt>
                <c:pt idx="1">
                  <c:v>8</c:v>
                </c:pt>
                <c:pt idx="2">
                  <c:v>15</c:v>
                </c:pt>
                <c:pt idx="3">
                  <c:v>10</c:v>
                </c:pt>
                <c:pt idx="4">
                  <c:v>7</c:v>
                </c:pt>
                <c:pt idx="5">
                  <c:v>59</c:v>
                </c:pt>
                <c:pt idx="6">
                  <c:v>126</c:v>
                </c:pt>
                <c:pt idx="7">
                  <c:v>19</c:v>
                </c:pt>
                <c:pt idx="8">
                  <c:v>15</c:v>
                </c:pt>
                <c:pt idx="9">
                  <c:v>11</c:v>
                </c:pt>
                <c:pt idx="10">
                  <c:v>26</c:v>
                </c:pt>
                <c:pt idx="11">
                  <c:v>26</c:v>
                </c:pt>
              </c:numCache>
            </c:numRef>
          </c:val>
          <c:smooth val="0"/>
          <c:extLst>
            <c:ext xmlns:c16="http://schemas.microsoft.com/office/drawing/2014/chart" uri="{C3380CC4-5D6E-409C-BE32-E72D297353CC}">
              <c16:uniqueId val="{00000000-1FEB-4F6D-AA7C-0C0AEF1DA085}"/>
            </c:ext>
          </c:extLst>
        </c:ser>
        <c:ser>
          <c:idx val="1"/>
          <c:order val="1"/>
          <c:tx>
            <c:strRef>
              <c:f>mamography_pivot!$I$1</c:f>
              <c:strCache>
                <c:ptCount val="1"/>
                <c:pt idx="0">
                  <c:v>non kjss 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mamography_pivot!$G$2:$G$26</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mamography_pivot!$I$2:$I$26</c:f>
              <c:numCache>
                <c:formatCode>General</c:formatCode>
                <c:ptCount val="12"/>
                <c:pt idx="0">
                  <c:v>91</c:v>
                </c:pt>
                <c:pt idx="1">
                  <c:v>90</c:v>
                </c:pt>
                <c:pt idx="2">
                  <c:v>91</c:v>
                </c:pt>
                <c:pt idx="3">
                  <c:v>106</c:v>
                </c:pt>
                <c:pt idx="4">
                  <c:v>84</c:v>
                </c:pt>
                <c:pt idx="5">
                  <c:v>183</c:v>
                </c:pt>
                <c:pt idx="6">
                  <c:v>109</c:v>
                </c:pt>
                <c:pt idx="7">
                  <c:v>82</c:v>
                </c:pt>
                <c:pt idx="8">
                  <c:v>94</c:v>
                </c:pt>
                <c:pt idx="9">
                  <c:v>62</c:v>
                </c:pt>
                <c:pt idx="10">
                  <c:v>99</c:v>
                </c:pt>
                <c:pt idx="11">
                  <c:v>114</c:v>
                </c:pt>
              </c:numCache>
            </c:numRef>
          </c:val>
          <c:smooth val="0"/>
          <c:extLst>
            <c:ext xmlns:c16="http://schemas.microsoft.com/office/drawing/2014/chart" uri="{C3380CC4-5D6E-409C-BE32-E72D297353CC}">
              <c16:uniqueId val="{00000001-1FEB-4F6D-AA7C-0C0AEF1DA085}"/>
            </c:ext>
          </c:extLst>
        </c:ser>
        <c:dLbls>
          <c:showLegendKey val="0"/>
          <c:showVal val="1"/>
          <c:showCatName val="0"/>
          <c:showSerName val="0"/>
          <c:showPercent val="0"/>
          <c:showBubbleSize val="0"/>
        </c:dLbls>
        <c:marker val="1"/>
        <c:smooth val="0"/>
        <c:axId val="1881552800"/>
        <c:axId val="1881553280"/>
      </c:lineChart>
      <c:catAx>
        <c:axId val="188155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881553280"/>
        <c:crosses val="autoZero"/>
        <c:auto val="1"/>
        <c:lblAlgn val="ctr"/>
        <c:lblOffset val="100"/>
        <c:noMultiLvlLbl val="0"/>
      </c:catAx>
      <c:valAx>
        <c:axId val="188155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8155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[Patient_Data.xlsx]mamography_pivot!PivotTable5</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E02F0B2-9E1C-4227-8037-8DB9F7EC5A6A}"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58F3494-7149-4CA8-B1A4-947C06D8ABBF}"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E02F0B2-9E1C-4227-8037-8DB9F7EC5A6A}"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58F3494-7149-4CA8-B1A4-947C06D8ABBF}"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fld id="{5E02F0B2-9E1C-4227-8037-8DB9F7EC5A6A}" type="PERCENTAGE">
                  <a:rPr lang="en-US"/>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fld id="{758F3494-7149-4CA8-B1A4-947C06D8ABBF}" type="PERCENTAGE">
                  <a:rPr lang="en-US"/>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mamography_pivot!$B$43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387-4B06-ABE1-0FACC411ED5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387-4B06-ABE1-0FACC411ED57}"/>
              </c:ext>
            </c:extLst>
          </c:dPt>
          <c:dLbls>
            <c:dLbl>
              <c:idx val="0"/>
              <c:tx>
                <c:rich>
                  <a:bodyPr/>
                  <a:lstStyle/>
                  <a:p>
                    <a:fld id="{5E02F0B2-9E1C-4227-8037-8DB9F7EC5A6A}" type="PERCENTAGE">
                      <a:rPr lang="en-US"/>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387-4B06-ABE1-0FACC411ED57}"/>
                </c:ext>
              </c:extLst>
            </c:dLbl>
            <c:dLbl>
              <c:idx val="1"/>
              <c:tx>
                <c:rich>
                  <a:bodyPr/>
                  <a:lstStyle/>
                  <a:p>
                    <a:fld id="{758F3494-7149-4CA8-B1A4-947C06D8ABBF}" type="PERCENTAGE">
                      <a:rPr lang="en-US"/>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387-4B06-ABE1-0FACC411ED5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mamography_pivot!$A$44:$A$46</c:f>
              <c:strCache>
                <c:ptCount val="2"/>
                <c:pt idx="0">
                  <c:v>kjss</c:v>
                </c:pt>
                <c:pt idx="1">
                  <c:v>non kjss</c:v>
                </c:pt>
              </c:strCache>
            </c:strRef>
          </c:cat>
          <c:val>
            <c:numRef>
              <c:f>mamography_pivot!$B$44:$B$46</c:f>
              <c:numCache>
                <c:formatCode>General</c:formatCode>
                <c:ptCount val="2"/>
                <c:pt idx="0">
                  <c:v>333</c:v>
                </c:pt>
                <c:pt idx="1">
                  <c:v>1205</c:v>
                </c:pt>
              </c:numCache>
            </c:numRef>
          </c:val>
          <c:extLst>
            <c:ext xmlns:c16="http://schemas.microsoft.com/office/drawing/2014/chart" uri="{C3380CC4-5D6E-409C-BE32-E72D297353CC}">
              <c16:uniqueId val="{00000004-7387-4B06-ABE1-0FACC411ED5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ysClr val="windowText" lastClr="000000">
          <a:lumMod val="75000"/>
          <a:lumOff val="25000"/>
        </a:sysClr>
      </a:fgClr>
      <a:bgClr>
        <a:schemeClr val="bg1"/>
      </a:bgClr>
    </a:patt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[Patient_Data.xlsx]body_sono_pivot!PivotTable1</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Yearly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body_sono_pivot!$B$3</c:f>
              <c:strCache>
                <c:ptCount val="1"/>
                <c:pt idx="0">
                  <c:v>Sonography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body_sono_pivot!$A$4:$A$9</c:f>
              <c:strCache>
                <c:ptCount val="5"/>
                <c:pt idx="0">
                  <c:v>2021-22</c:v>
                </c:pt>
                <c:pt idx="1">
                  <c:v>2022-23</c:v>
                </c:pt>
                <c:pt idx="2">
                  <c:v>2023-24</c:v>
                </c:pt>
                <c:pt idx="3">
                  <c:v>2024-25</c:v>
                </c:pt>
                <c:pt idx="4">
                  <c:v>2025-26</c:v>
                </c:pt>
              </c:strCache>
            </c:strRef>
          </c:cat>
          <c:val>
            <c:numRef>
              <c:f>body_sono_pivot!$B$4:$B$9</c:f>
              <c:numCache>
                <c:formatCode>General</c:formatCode>
                <c:ptCount val="5"/>
                <c:pt idx="0">
                  <c:v>10901</c:v>
                </c:pt>
                <c:pt idx="1">
                  <c:v>10801</c:v>
                </c:pt>
                <c:pt idx="2">
                  <c:v>10946</c:v>
                </c:pt>
                <c:pt idx="3">
                  <c:v>10522</c:v>
                </c:pt>
                <c:pt idx="4">
                  <c:v>10220</c:v>
                </c:pt>
              </c:numCache>
            </c:numRef>
          </c:val>
          <c:extLst>
            <c:ext xmlns:c16="http://schemas.microsoft.com/office/drawing/2014/chart" uri="{C3380CC4-5D6E-409C-BE32-E72D297353CC}">
              <c16:uniqueId val="{00000000-BDB2-4EDC-BE8C-80BC79D25B7F}"/>
            </c:ext>
          </c:extLst>
        </c:ser>
        <c:ser>
          <c:idx val="1"/>
          <c:order val="1"/>
          <c:tx>
            <c:strRef>
              <c:f>body_sono_pivot!$C$3</c:f>
              <c:strCache>
                <c:ptCount val="1"/>
                <c:pt idx="0">
                  <c:v>Sonography in Bodycheckup</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body_sono_pivot!$A$4:$A$9</c:f>
              <c:strCache>
                <c:ptCount val="5"/>
                <c:pt idx="0">
                  <c:v>2021-22</c:v>
                </c:pt>
                <c:pt idx="1">
                  <c:v>2022-23</c:v>
                </c:pt>
                <c:pt idx="2">
                  <c:v>2023-24</c:v>
                </c:pt>
                <c:pt idx="3">
                  <c:v>2024-25</c:v>
                </c:pt>
                <c:pt idx="4">
                  <c:v>2025-26</c:v>
                </c:pt>
              </c:strCache>
            </c:strRef>
          </c:cat>
          <c:val>
            <c:numRef>
              <c:f>body_sono_pivot!$C$4:$C$9</c:f>
              <c:numCache>
                <c:formatCode>General</c:formatCode>
                <c:ptCount val="5"/>
                <c:pt idx="0">
                  <c:v>2896</c:v>
                </c:pt>
                <c:pt idx="1">
                  <c:v>3439</c:v>
                </c:pt>
                <c:pt idx="2">
                  <c:v>3517</c:v>
                </c:pt>
                <c:pt idx="3">
                  <c:v>3776</c:v>
                </c:pt>
                <c:pt idx="4">
                  <c:v>3099</c:v>
                </c:pt>
              </c:numCache>
            </c:numRef>
          </c:val>
          <c:extLst>
            <c:ext xmlns:c16="http://schemas.microsoft.com/office/drawing/2014/chart" uri="{C3380CC4-5D6E-409C-BE32-E72D297353CC}">
              <c16:uniqueId val="{00000001-BDB2-4EDC-BE8C-80BC79D25B7F}"/>
            </c:ext>
          </c:extLst>
        </c:ser>
        <c:dLbls>
          <c:dLblPos val="outEnd"/>
          <c:showLegendKey val="0"/>
          <c:showVal val="1"/>
          <c:showCatName val="0"/>
          <c:showSerName val="0"/>
          <c:showPercent val="0"/>
          <c:showBubbleSize val="0"/>
        </c:dLbls>
        <c:gapWidth val="219"/>
        <c:overlap val="-27"/>
        <c:axId val="596270927"/>
        <c:axId val="596272367"/>
      </c:barChart>
      <c:catAx>
        <c:axId val="59627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272367"/>
        <c:crosses val="autoZero"/>
        <c:auto val="1"/>
        <c:lblAlgn val="ctr"/>
        <c:lblOffset val="100"/>
        <c:noMultiLvlLbl val="0"/>
      </c:catAx>
      <c:valAx>
        <c:axId val="59627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27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[Patient_Data.xlsx]body_sono_pivot!PivotTable2</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Monthly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body_sono_pivot!$H$3</c:f>
              <c:strCache>
                <c:ptCount val="1"/>
                <c:pt idx="0">
                  <c:v>Sonography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body_sono_pivot!$G$4:$G$28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body_sono_pivot!$H$4:$H$28</c:f>
              <c:numCache>
                <c:formatCode>General</c:formatCode>
                <c:ptCount val="12"/>
                <c:pt idx="0">
                  <c:v>4544</c:v>
                </c:pt>
                <c:pt idx="1">
                  <c:v>4441</c:v>
                </c:pt>
                <c:pt idx="2">
                  <c:v>4983</c:v>
                </c:pt>
                <c:pt idx="3">
                  <c:v>5208</c:v>
                </c:pt>
                <c:pt idx="4">
                  <c:v>4733</c:v>
                </c:pt>
                <c:pt idx="5">
                  <c:v>4857</c:v>
                </c:pt>
                <c:pt idx="6">
                  <c:v>3783</c:v>
                </c:pt>
                <c:pt idx="7">
                  <c:v>3900</c:v>
                </c:pt>
                <c:pt idx="8">
                  <c:v>4426</c:v>
                </c:pt>
                <c:pt idx="9">
                  <c:v>3943</c:v>
                </c:pt>
                <c:pt idx="10">
                  <c:v>4117</c:v>
                </c:pt>
                <c:pt idx="11">
                  <c:v>4455</c:v>
                </c:pt>
              </c:numCache>
            </c:numRef>
          </c:val>
          <c:smooth val="0"/>
          <c:extLst>
            <c:ext xmlns:c16="http://schemas.microsoft.com/office/drawing/2014/chart" uri="{C3380CC4-5D6E-409C-BE32-E72D297353CC}">
              <c16:uniqueId val="{00000000-9258-4355-9B67-BC37EB9D72CB}"/>
            </c:ext>
          </c:extLst>
        </c:ser>
        <c:ser>
          <c:idx val="1"/>
          <c:order val="1"/>
          <c:tx>
            <c:strRef>
              <c:f>body_sono_pivot!$I$3</c:f>
              <c:strCache>
                <c:ptCount val="1"/>
                <c:pt idx="0">
                  <c:v>Sonography in Bodycheckup</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body_sono_pivot!$G$4:$G$28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body_sono_pivot!$I$4:$I$28</c:f>
              <c:numCache>
                <c:formatCode>General</c:formatCode>
                <c:ptCount val="12"/>
                <c:pt idx="0">
                  <c:v>1347</c:v>
                </c:pt>
                <c:pt idx="1">
                  <c:v>1334</c:v>
                </c:pt>
                <c:pt idx="2">
                  <c:v>1398</c:v>
                </c:pt>
                <c:pt idx="3">
                  <c:v>1538</c:v>
                </c:pt>
                <c:pt idx="4">
                  <c:v>1133</c:v>
                </c:pt>
                <c:pt idx="5">
                  <c:v>1401</c:v>
                </c:pt>
                <c:pt idx="6">
                  <c:v>1144</c:v>
                </c:pt>
                <c:pt idx="7">
                  <c:v>1124</c:v>
                </c:pt>
                <c:pt idx="8">
                  <c:v>1337</c:v>
                </c:pt>
                <c:pt idx="9">
                  <c:v>1161</c:v>
                </c:pt>
                <c:pt idx="10">
                  <c:v>1680</c:v>
                </c:pt>
                <c:pt idx="11">
                  <c:v>2130</c:v>
                </c:pt>
              </c:numCache>
            </c:numRef>
          </c:val>
          <c:smooth val="0"/>
          <c:extLst>
            <c:ext xmlns:c16="http://schemas.microsoft.com/office/drawing/2014/chart" uri="{C3380CC4-5D6E-409C-BE32-E72D297353CC}">
              <c16:uniqueId val="{00000001-9258-4355-9B67-BC37EB9D72CB}"/>
            </c:ext>
          </c:extLst>
        </c:ser>
        <c:dLbls>
          <c:dLblPos val="t"/>
          <c:showLegendKey val="0"/>
          <c:showVal val="1"/>
          <c:showCatName val="0"/>
          <c:showSerName val="0"/>
          <c:showPercent val="0"/>
          <c:showBubbleSize val="0"/>
        </c:dLbls>
        <c:smooth val="0"/>
        <c:axId val="596291087"/>
        <c:axId val="596294927"/>
      </c:lineChart>
      <c:catAx>
        <c:axId val="59629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294927"/>
        <c:crosses val="autoZero"/>
        <c:auto val="1"/>
        <c:lblAlgn val="ctr"/>
        <c:lblOffset val="100"/>
        <c:noMultiLvlLbl val="0"/>
      </c:catAx>
      <c:valAx>
        <c:axId val="59629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29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[Patient_Data.xlsx]body_sono_pivot!PivotTable4</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4563B1A-3760-4A75-B617-7527E73C4DAB}"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311F9F2-3CC4-4795-B9BE-62FA538B33E1}"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body_sono_pivot!$B$62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A3A-413A-8700-8CA86C3706D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A3A-413A-8700-8CA86C3706D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body_sono_pivot!$A$63:$A$65</c:f>
              <c:strCache>
                <c:ptCount val="2"/>
                <c:pt idx="0">
                  <c:v>Sonography</c:v>
                </c:pt>
                <c:pt idx="1">
                  <c:v>Sonography in Bodycheckup</c:v>
                </c:pt>
              </c:strCache>
            </c:strRef>
          </c:cat>
          <c:val>
            <c:numRef>
              <c:f>body_sono_pivot!$B$63:$B$65</c:f>
              <c:numCache>
                <c:formatCode>General</c:formatCode>
                <c:ptCount val="2"/>
                <c:pt idx="0">
                  <c:v>52331</c:v>
                </c:pt>
                <c:pt idx="1">
                  <c:v>16727</c:v>
                </c:pt>
              </c:numCache>
            </c:numRef>
          </c:val>
          <c:extLst>
            <c:ext xmlns:c16="http://schemas.microsoft.com/office/drawing/2014/chart" uri="{C3380CC4-5D6E-409C-BE32-E72D297353CC}">
              <c16:uniqueId val="{00000000-6A3A-413A-8700-8CA86C3706D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ysClr val="windowText" lastClr="000000">
          <a:lumMod val="75000"/>
          <a:lumOff val="25000"/>
        </a:sysClr>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[Patient_Data.xlsx]body_sono_pivot!PivotTable1</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t>Yearly</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144000"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body_sono_pivot!$B$3</c:f>
              <c:strCache>
                <c:ptCount val="1"/>
                <c:pt idx="0">
                  <c:v>Sonography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body_sono_pivot!$A$4:$A$9</c:f>
              <c:strCache>
                <c:ptCount val="5"/>
                <c:pt idx="0">
                  <c:v>2021-22</c:v>
                </c:pt>
                <c:pt idx="1">
                  <c:v>2022-23</c:v>
                </c:pt>
                <c:pt idx="2">
                  <c:v>2023-24</c:v>
                </c:pt>
                <c:pt idx="3">
                  <c:v>2024-25</c:v>
                </c:pt>
                <c:pt idx="4">
                  <c:v>2025-26</c:v>
                </c:pt>
              </c:strCache>
            </c:strRef>
          </c:cat>
          <c:val>
            <c:numRef>
              <c:f>body_sono_pivot!$B$4:$B$9</c:f>
              <c:numCache>
                <c:formatCode>General</c:formatCode>
                <c:ptCount val="5"/>
                <c:pt idx="0">
                  <c:v>10901</c:v>
                </c:pt>
                <c:pt idx="1">
                  <c:v>10801</c:v>
                </c:pt>
                <c:pt idx="2">
                  <c:v>10946</c:v>
                </c:pt>
                <c:pt idx="3">
                  <c:v>10522</c:v>
                </c:pt>
                <c:pt idx="4">
                  <c:v>10220</c:v>
                </c:pt>
              </c:numCache>
            </c:numRef>
          </c:val>
          <c:extLst>
            <c:ext xmlns:c16="http://schemas.microsoft.com/office/drawing/2014/chart" uri="{C3380CC4-5D6E-409C-BE32-E72D297353CC}">
              <c16:uniqueId val="{00000000-D3DB-4B9B-AD0B-B77A41C7D720}"/>
            </c:ext>
          </c:extLst>
        </c:ser>
        <c:ser>
          <c:idx val="1"/>
          <c:order val="1"/>
          <c:tx>
            <c:strRef>
              <c:f>body_sono_pivot!$C$3</c:f>
              <c:strCache>
                <c:ptCount val="1"/>
                <c:pt idx="0">
                  <c:v>Sonography in Bodycheckup</c:v>
                </c:pt>
              </c:strCache>
            </c:strRef>
          </c:tx>
          <c:spPr>
            <a:solidFill>
              <a:schemeClr val="accent2"/>
            </a:solidFill>
            <a:ln>
              <a:noFill/>
            </a:ln>
            <a:effectLst/>
          </c:spPr>
          <c:invertIfNegative val="0"/>
          <c:dLbls>
            <c:spPr>
              <a:noFill/>
              <a:ln>
                <a:noFill/>
              </a:ln>
              <a:effectLst/>
            </c:spPr>
            <c:txPr>
              <a:bodyPr rot="0" spcFirstLastPara="1" vertOverflow="ellipsis" vert="horz" wrap="square" lIns="144000"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body_sono_pivot!$A$4:$A$9</c:f>
              <c:strCache>
                <c:ptCount val="5"/>
                <c:pt idx="0">
                  <c:v>2021-22</c:v>
                </c:pt>
                <c:pt idx="1">
                  <c:v>2022-23</c:v>
                </c:pt>
                <c:pt idx="2">
                  <c:v>2023-24</c:v>
                </c:pt>
                <c:pt idx="3">
                  <c:v>2024-25</c:v>
                </c:pt>
                <c:pt idx="4">
                  <c:v>2025-26</c:v>
                </c:pt>
              </c:strCache>
            </c:strRef>
          </c:cat>
          <c:val>
            <c:numRef>
              <c:f>body_sono_pivot!$C$4:$C$9</c:f>
              <c:numCache>
                <c:formatCode>General</c:formatCode>
                <c:ptCount val="5"/>
                <c:pt idx="0">
                  <c:v>2896</c:v>
                </c:pt>
                <c:pt idx="1">
                  <c:v>3439</c:v>
                </c:pt>
                <c:pt idx="2">
                  <c:v>3517</c:v>
                </c:pt>
                <c:pt idx="3">
                  <c:v>3776</c:v>
                </c:pt>
                <c:pt idx="4">
                  <c:v>3099</c:v>
                </c:pt>
              </c:numCache>
            </c:numRef>
          </c:val>
          <c:extLst>
            <c:ext xmlns:c16="http://schemas.microsoft.com/office/drawing/2014/chart" uri="{C3380CC4-5D6E-409C-BE32-E72D297353CC}">
              <c16:uniqueId val="{00000001-D3DB-4B9B-AD0B-B77A41C7D720}"/>
            </c:ext>
          </c:extLst>
        </c:ser>
        <c:dLbls>
          <c:dLblPos val="outEnd"/>
          <c:showLegendKey val="0"/>
          <c:showVal val="1"/>
          <c:showCatName val="0"/>
          <c:showSerName val="0"/>
          <c:showPercent val="0"/>
          <c:showBubbleSize val="0"/>
        </c:dLbls>
        <c:gapWidth val="219"/>
        <c:overlap val="-27"/>
        <c:axId val="596270927"/>
        <c:axId val="596272367"/>
      </c:barChart>
      <c:catAx>
        <c:axId val="59627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6272367"/>
        <c:crosses val="autoZero"/>
        <c:auto val="1"/>
        <c:lblAlgn val="ctr"/>
        <c:lblOffset val="100"/>
        <c:noMultiLvlLbl val="0"/>
      </c:catAx>
      <c:valAx>
        <c:axId val="59627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627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[Patient_Data.xlsx]body_sono_pivot!PivotTable2</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Monthly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body_sono_pivot!$H$3</c:f>
              <c:strCache>
                <c:ptCount val="1"/>
                <c:pt idx="0">
                  <c:v>Sonography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body_sono_pivot!$G$4:$G$28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body_sono_pivot!$H$4:$H$28</c:f>
              <c:numCache>
                <c:formatCode>General</c:formatCode>
                <c:ptCount val="12"/>
                <c:pt idx="0">
                  <c:v>4544</c:v>
                </c:pt>
                <c:pt idx="1">
                  <c:v>4441</c:v>
                </c:pt>
                <c:pt idx="2">
                  <c:v>4983</c:v>
                </c:pt>
                <c:pt idx="3">
                  <c:v>5208</c:v>
                </c:pt>
                <c:pt idx="4">
                  <c:v>4733</c:v>
                </c:pt>
                <c:pt idx="5">
                  <c:v>4857</c:v>
                </c:pt>
                <c:pt idx="6">
                  <c:v>3783</c:v>
                </c:pt>
                <c:pt idx="7">
                  <c:v>3900</c:v>
                </c:pt>
                <c:pt idx="8">
                  <c:v>4426</c:v>
                </c:pt>
                <c:pt idx="9">
                  <c:v>3943</c:v>
                </c:pt>
                <c:pt idx="10">
                  <c:v>4117</c:v>
                </c:pt>
                <c:pt idx="11">
                  <c:v>4455</c:v>
                </c:pt>
              </c:numCache>
            </c:numRef>
          </c:val>
          <c:smooth val="0"/>
          <c:extLst>
            <c:ext xmlns:c16="http://schemas.microsoft.com/office/drawing/2014/chart" uri="{C3380CC4-5D6E-409C-BE32-E72D297353CC}">
              <c16:uniqueId val="{00000000-C8B4-4476-B1EB-77C5A673B558}"/>
            </c:ext>
          </c:extLst>
        </c:ser>
        <c:ser>
          <c:idx val="1"/>
          <c:order val="1"/>
          <c:tx>
            <c:strRef>
              <c:f>body_sono_pivot!$I$3</c:f>
              <c:strCache>
                <c:ptCount val="1"/>
                <c:pt idx="0">
                  <c:v>Sonography in Bodycheckup</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body_sono_pivot!$G$4:$G$28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body_sono_pivot!$I$4:$I$28</c:f>
              <c:numCache>
                <c:formatCode>General</c:formatCode>
                <c:ptCount val="12"/>
                <c:pt idx="0">
                  <c:v>1347</c:v>
                </c:pt>
                <c:pt idx="1">
                  <c:v>1334</c:v>
                </c:pt>
                <c:pt idx="2">
                  <c:v>1398</c:v>
                </c:pt>
                <c:pt idx="3">
                  <c:v>1538</c:v>
                </c:pt>
                <c:pt idx="4">
                  <c:v>1133</c:v>
                </c:pt>
                <c:pt idx="5">
                  <c:v>1401</c:v>
                </c:pt>
                <c:pt idx="6">
                  <c:v>1144</c:v>
                </c:pt>
                <c:pt idx="7">
                  <c:v>1124</c:v>
                </c:pt>
                <c:pt idx="8">
                  <c:v>1337</c:v>
                </c:pt>
                <c:pt idx="9">
                  <c:v>1161</c:v>
                </c:pt>
                <c:pt idx="10">
                  <c:v>1680</c:v>
                </c:pt>
                <c:pt idx="11">
                  <c:v>2130</c:v>
                </c:pt>
              </c:numCache>
            </c:numRef>
          </c:val>
          <c:smooth val="0"/>
          <c:extLst>
            <c:ext xmlns:c16="http://schemas.microsoft.com/office/drawing/2014/chart" uri="{C3380CC4-5D6E-409C-BE32-E72D297353CC}">
              <c16:uniqueId val="{00000001-C8B4-4476-B1EB-77C5A673B558}"/>
            </c:ext>
          </c:extLst>
        </c:ser>
        <c:dLbls>
          <c:dLblPos val="t"/>
          <c:showLegendKey val="0"/>
          <c:showVal val="1"/>
          <c:showCatName val="0"/>
          <c:showSerName val="0"/>
          <c:showPercent val="0"/>
          <c:showBubbleSize val="0"/>
        </c:dLbls>
        <c:smooth val="0"/>
        <c:axId val="596291087"/>
        <c:axId val="596294927"/>
      </c:lineChart>
      <c:catAx>
        <c:axId val="59629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294927"/>
        <c:crosses val="autoZero"/>
        <c:auto val="1"/>
        <c:lblAlgn val="ctr"/>
        <c:lblOffset val="100"/>
        <c:noMultiLvlLbl val="0"/>
      </c:catAx>
      <c:valAx>
        <c:axId val="59629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29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[Patient_Data.xlsx]body_sono_pivot!PivotTable4</c:name>
    <c:fmtId val="6"/>
  </c:pivotSource>
  <c:chart>
    <c:title>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4563B1A-3760-4A75-B617-7527E73C4DAB}"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311F9F2-3CC4-4795-B9BE-62FA538B33E1}"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4563B1A-3760-4A75-B617-7527E73C4DAB}"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311F9F2-3CC4-4795-B9BE-62FA538B33E1}"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4563B1A-3760-4A75-B617-7527E73C4DAB}"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311F9F2-3CC4-4795-B9BE-62FA538B33E1}"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38B2778D-80B3-46BC-BDC6-94B5FB7E21F1}"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6CEBBA2-0351-4CAB-92CB-141565AF8E31}"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body_sono_pivot!$B$62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08B-4EED-B133-49CCDDFDD8E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08B-4EED-B133-49CCDDFDD8E9}"/>
              </c:ext>
            </c:extLst>
          </c:dPt>
          <c:dLbls>
            <c:dLbl>
              <c:idx val="0"/>
              <c:tx>
                <c:rich>
                  <a:bodyPr/>
                  <a:lstStyle/>
                  <a:p>
                    <a:fld id="{D6CEBBA2-0351-4CAB-92CB-141565AF8E31}"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08B-4EED-B133-49CCDDFDD8E9}"/>
                </c:ext>
              </c:extLst>
            </c:dLbl>
            <c:dLbl>
              <c:idx val="1"/>
              <c:tx>
                <c:rich>
                  <a:bodyPr/>
                  <a:lstStyle/>
                  <a:p>
                    <a:fld id="{38B2778D-80B3-46BC-BDC6-94B5FB7E21F1}"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08B-4EED-B133-49CCDDFDD8E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body_sono_pivot!$A$63:$A$65</c:f>
              <c:strCache>
                <c:ptCount val="2"/>
                <c:pt idx="0">
                  <c:v>Sonography</c:v>
                </c:pt>
                <c:pt idx="1">
                  <c:v>Sonography in Bodycheckup</c:v>
                </c:pt>
              </c:strCache>
            </c:strRef>
          </c:cat>
          <c:val>
            <c:numRef>
              <c:f>body_sono_pivot!$B$63:$B$65</c:f>
              <c:numCache>
                <c:formatCode>General</c:formatCode>
                <c:ptCount val="2"/>
                <c:pt idx="0">
                  <c:v>52331</c:v>
                </c:pt>
                <c:pt idx="1">
                  <c:v>16727</c:v>
                </c:pt>
              </c:numCache>
            </c:numRef>
          </c:val>
          <c:extLst>
            <c:ext xmlns:c16="http://schemas.microsoft.com/office/drawing/2014/chart" uri="{C3380CC4-5D6E-409C-BE32-E72D297353CC}">
              <c16:uniqueId val="{00000004-908B-4EED-B133-49CCDDFDD8E9}"/>
            </c:ext>
          </c:extLst>
        </c:ser>
        <c:dLbls>
          <c:dLblPos val="ctr"/>
          <c:showLegendKey val="0"/>
          <c:showVal val="1"/>
          <c:showCatName val="0"/>
          <c:showSerName val="0"/>
          <c:showPercent val="0"/>
          <c:showBubbleSize val="0"/>
          <c:showLeaderLines val="1"/>
        </c:dLbls>
        <c:firstSliceAng val="9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ysClr val="windowText" lastClr="000000">
          <a:lumMod val="75000"/>
          <a:lumOff val="25000"/>
        </a:sysClr>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[Patient_Data.xlsx]bodycheckup_xray_pivot!PivotTable5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Yearly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bodycheckup_xray_pivot!$B$2</c:f>
              <c:strCache>
                <c:ptCount val="1"/>
                <c:pt idx="0">
                  <c:v>Xray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bodycheckup_xray_pivot!$A$3:$A$8</c:f>
              <c:strCache>
                <c:ptCount val="5"/>
                <c:pt idx="0">
                  <c:v>2021-22</c:v>
                </c:pt>
                <c:pt idx="1">
                  <c:v>2022-23</c:v>
                </c:pt>
                <c:pt idx="2">
                  <c:v>2023-24</c:v>
                </c:pt>
                <c:pt idx="3">
                  <c:v>2024-25</c:v>
                </c:pt>
                <c:pt idx="4">
                  <c:v>2025-26</c:v>
                </c:pt>
              </c:strCache>
            </c:strRef>
          </c:cat>
          <c:val>
            <c:numRef>
              <c:f>bodycheckup_xray_pivot!$B$3:$B$8</c:f>
              <c:numCache>
                <c:formatCode>General</c:formatCode>
                <c:ptCount val="5"/>
                <c:pt idx="0">
                  <c:v>7262</c:v>
                </c:pt>
                <c:pt idx="1">
                  <c:v>7980</c:v>
                </c:pt>
                <c:pt idx="2">
                  <c:v>8089</c:v>
                </c:pt>
                <c:pt idx="3">
                  <c:v>7586</c:v>
                </c:pt>
                <c:pt idx="4">
                  <c:v>6934</c:v>
                </c:pt>
              </c:numCache>
            </c:numRef>
          </c:val>
          <c:extLst>
            <c:ext xmlns:c16="http://schemas.microsoft.com/office/drawing/2014/chart" uri="{C3380CC4-5D6E-409C-BE32-E72D297353CC}">
              <c16:uniqueId val="{00000000-BC6F-49F0-BA4C-5A712FC1F7AC}"/>
            </c:ext>
          </c:extLst>
        </c:ser>
        <c:ser>
          <c:idx val="1"/>
          <c:order val="1"/>
          <c:tx>
            <c:strRef>
              <c:f>bodycheckup_xray_pivot!$C$2</c:f>
              <c:strCache>
                <c:ptCount val="1"/>
                <c:pt idx="0">
                  <c:v>Xray in Bodycheckup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bodycheckup_xray_pivot!$A$3:$A$8</c:f>
              <c:strCache>
                <c:ptCount val="5"/>
                <c:pt idx="0">
                  <c:v>2021-22</c:v>
                </c:pt>
                <c:pt idx="1">
                  <c:v>2022-23</c:v>
                </c:pt>
                <c:pt idx="2">
                  <c:v>2023-24</c:v>
                </c:pt>
                <c:pt idx="3">
                  <c:v>2024-25</c:v>
                </c:pt>
                <c:pt idx="4">
                  <c:v>2025-26</c:v>
                </c:pt>
              </c:strCache>
            </c:strRef>
          </c:cat>
          <c:val>
            <c:numRef>
              <c:f>bodycheckup_xray_pivot!$C$3:$C$8</c:f>
              <c:numCache>
                <c:formatCode>General</c:formatCode>
                <c:ptCount val="5"/>
                <c:pt idx="0">
                  <c:v>3678</c:v>
                </c:pt>
                <c:pt idx="1">
                  <c:v>4173</c:v>
                </c:pt>
                <c:pt idx="2">
                  <c:v>4341</c:v>
                </c:pt>
                <c:pt idx="3">
                  <c:v>4048</c:v>
                </c:pt>
                <c:pt idx="4">
                  <c:v>3484</c:v>
                </c:pt>
              </c:numCache>
            </c:numRef>
          </c:val>
          <c:extLst>
            <c:ext xmlns:c16="http://schemas.microsoft.com/office/drawing/2014/chart" uri="{C3380CC4-5D6E-409C-BE32-E72D297353CC}">
              <c16:uniqueId val="{00000001-BC6F-49F0-BA4C-5A712FC1F7AC}"/>
            </c:ext>
          </c:extLst>
        </c:ser>
        <c:dLbls>
          <c:dLblPos val="outEnd"/>
          <c:showLegendKey val="0"/>
          <c:showVal val="1"/>
          <c:showCatName val="0"/>
          <c:showSerName val="0"/>
          <c:showPercent val="0"/>
          <c:showBubbleSize val="0"/>
        </c:dLbls>
        <c:gapWidth val="219"/>
        <c:overlap val="-27"/>
        <c:axId val="482471007"/>
        <c:axId val="482471487"/>
      </c:barChart>
      <c:catAx>
        <c:axId val="48247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471487"/>
        <c:crosses val="autoZero"/>
        <c:auto val="1"/>
        <c:lblAlgn val="ctr"/>
        <c:lblOffset val="100"/>
        <c:noMultiLvlLbl val="0"/>
      </c:catAx>
      <c:valAx>
        <c:axId val="48247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47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[Patient_Data.xlsx]bodycheckup_xray_pivot!PivotTable6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bodycheckup_xray_pivot!$H$3</c:f>
              <c:strCache>
                <c:ptCount val="1"/>
                <c:pt idx="0">
                  <c:v>Xray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bodycheckup_xray_pivot!$G$4:$G$28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bodycheckup_xray_pivot!$H$4:$H$28</c:f>
              <c:numCache>
                <c:formatCode>General</c:formatCode>
                <c:ptCount val="12"/>
                <c:pt idx="0">
                  <c:v>2975</c:v>
                </c:pt>
                <c:pt idx="1">
                  <c:v>2832</c:v>
                </c:pt>
                <c:pt idx="2">
                  <c:v>2985</c:v>
                </c:pt>
                <c:pt idx="3">
                  <c:v>3537</c:v>
                </c:pt>
                <c:pt idx="4">
                  <c:v>3101</c:v>
                </c:pt>
                <c:pt idx="5">
                  <c:v>3442</c:v>
                </c:pt>
                <c:pt idx="6">
                  <c:v>2853</c:v>
                </c:pt>
                <c:pt idx="7">
                  <c:v>2968</c:v>
                </c:pt>
                <c:pt idx="8">
                  <c:v>3230</c:v>
                </c:pt>
                <c:pt idx="9">
                  <c:v>2927</c:v>
                </c:pt>
                <c:pt idx="10">
                  <c:v>3397</c:v>
                </c:pt>
                <c:pt idx="11">
                  <c:v>3604</c:v>
                </c:pt>
              </c:numCache>
            </c:numRef>
          </c:val>
          <c:smooth val="0"/>
          <c:extLst>
            <c:ext xmlns:c16="http://schemas.microsoft.com/office/drawing/2014/chart" uri="{C3380CC4-5D6E-409C-BE32-E72D297353CC}">
              <c16:uniqueId val="{00000000-23A0-4F42-9B25-09B465EA22FA}"/>
            </c:ext>
          </c:extLst>
        </c:ser>
        <c:ser>
          <c:idx val="1"/>
          <c:order val="1"/>
          <c:tx>
            <c:strRef>
              <c:f>bodycheckup_xray_pivot!$I$3</c:f>
              <c:strCache>
                <c:ptCount val="1"/>
                <c:pt idx="0">
                  <c:v>Xray in Bodycheckup</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bodycheckup_xray_pivot!$G$4:$G$28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bodycheckup_xray_pivot!$I$4:$I$28</c:f>
              <c:numCache>
                <c:formatCode>General</c:formatCode>
                <c:ptCount val="12"/>
                <c:pt idx="0">
                  <c:v>1594</c:v>
                </c:pt>
                <c:pt idx="1">
                  <c:v>1567</c:v>
                </c:pt>
                <c:pt idx="2">
                  <c:v>1707</c:v>
                </c:pt>
                <c:pt idx="3">
                  <c:v>1720</c:v>
                </c:pt>
                <c:pt idx="4">
                  <c:v>1426</c:v>
                </c:pt>
                <c:pt idx="5">
                  <c:v>1673</c:v>
                </c:pt>
                <c:pt idx="6">
                  <c:v>1337</c:v>
                </c:pt>
                <c:pt idx="7">
                  <c:v>1301</c:v>
                </c:pt>
                <c:pt idx="8">
                  <c:v>1624</c:v>
                </c:pt>
                <c:pt idx="9">
                  <c:v>1325</c:v>
                </c:pt>
                <c:pt idx="10">
                  <c:v>1979</c:v>
                </c:pt>
                <c:pt idx="11">
                  <c:v>2471</c:v>
                </c:pt>
              </c:numCache>
            </c:numRef>
          </c:val>
          <c:smooth val="0"/>
          <c:extLst>
            <c:ext xmlns:c16="http://schemas.microsoft.com/office/drawing/2014/chart" uri="{C3380CC4-5D6E-409C-BE32-E72D297353CC}">
              <c16:uniqueId val="{00000001-23A0-4F42-9B25-09B465EA22FA}"/>
            </c:ext>
          </c:extLst>
        </c:ser>
        <c:dLbls>
          <c:dLblPos val="t"/>
          <c:showLegendKey val="0"/>
          <c:showVal val="1"/>
          <c:showCatName val="0"/>
          <c:showSerName val="0"/>
          <c:showPercent val="0"/>
          <c:showBubbleSize val="0"/>
        </c:dLbls>
        <c:smooth val="0"/>
        <c:axId val="482478687"/>
        <c:axId val="482488287"/>
      </c:lineChart>
      <c:catAx>
        <c:axId val="48247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488287"/>
        <c:crosses val="autoZero"/>
        <c:auto val="1"/>
        <c:lblAlgn val="ctr"/>
        <c:lblOffset val="100"/>
        <c:noMultiLvlLbl val="0"/>
      </c:catAx>
      <c:valAx>
        <c:axId val="48248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47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[Patient_Data.xlsx]bodycheckup_xray_pivot!PivotTable7</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F0F3D4C-CDF2-4844-A27C-DCBE9CD0F9CD}"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5CC29ED-D4B9-410A-853A-93BF84A07BAE}"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bodycheckup_xray_pivot!$B$44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3EC-4D52-BF62-2F0A811E8FB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3EC-4D52-BF62-2F0A811E8FB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bodycheckup_xray_pivot!$A$45:$A$47</c:f>
              <c:strCache>
                <c:ptCount val="2"/>
                <c:pt idx="0">
                  <c:v>Xray</c:v>
                </c:pt>
                <c:pt idx="1">
                  <c:v>Xray in Bodycheckup</c:v>
                </c:pt>
              </c:strCache>
            </c:strRef>
          </c:cat>
          <c:val>
            <c:numRef>
              <c:f>bodycheckup_xray_pivot!$B$45:$B$47</c:f>
              <c:numCache>
                <c:formatCode>General</c:formatCode>
                <c:ptCount val="2"/>
                <c:pt idx="0">
                  <c:v>37054</c:v>
                </c:pt>
                <c:pt idx="1">
                  <c:v>19724</c:v>
                </c:pt>
              </c:numCache>
            </c:numRef>
          </c:val>
          <c:extLst>
            <c:ext xmlns:c16="http://schemas.microsoft.com/office/drawing/2014/chart" uri="{C3380CC4-5D6E-409C-BE32-E72D297353CC}">
              <c16:uniqueId val="{00000000-63EC-4D52-BF62-2F0A811E8FB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ysClr val="windowText" lastClr="000000">
          <a:lumMod val="75000"/>
          <a:lumOff val="25000"/>
        </a:sysClr>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[Patient_Data.xlsx]bodycheckup_xray_pivot!PivotTable5</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t>Yearly</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108000"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bodycheckup_xray_pivot!$B$2</c:f>
              <c:strCache>
                <c:ptCount val="1"/>
                <c:pt idx="0">
                  <c:v>Xray</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bodycheckup_xray_pivot!$A$3:$A$8</c:f>
              <c:strCache>
                <c:ptCount val="5"/>
                <c:pt idx="0">
                  <c:v>2021-22</c:v>
                </c:pt>
                <c:pt idx="1">
                  <c:v>2022-23</c:v>
                </c:pt>
                <c:pt idx="2">
                  <c:v>2023-24</c:v>
                </c:pt>
                <c:pt idx="3">
                  <c:v>2024-25</c:v>
                </c:pt>
                <c:pt idx="4">
                  <c:v>2025-26</c:v>
                </c:pt>
              </c:strCache>
            </c:strRef>
          </c:cat>
          <c:val>
            <c:numRef>
              <c:f>bodycheckup_xray_pivot!$B$3:$B$8</c:f>
              <c:numCache>
                <c:formatCode>General</c:formatCode>
                <c:ptCount val="5"/>
                <c:pt idx="0">
                  <c:v>7262</c:v>
                </c:pt>
                <c:pt idx="1">
                  <c:v>7980</c:v>
                </c:pt>
                <c:pt idx="2">
                  <c:v>8089</c:v>
                </c:pt>
                <c:pt idx="3">
                  <c:v>7586</c:v>
                </c:pt>
                <c:pt idx="4">
                  <c:v>6934</c:v>
                </c:pt>
              </c:numCache>
            </c:numRef>
          </c:val>
          <c:extLst>
            <c:ext xmlns:c16="http://schemas.microsoft.com/office/drawing/2014/chart" uri="{C3380CC4-5D6E-409C-BE32-E72D297353CC}">
              <c16:uniqueId val="{00000000-CF9D-45F5-8AEE-C8D39F3CB624}"/>
            </c:ext>
          </c:extLst>
        </c:ser>
        <c:ser>
          <c:idx val="1"/>
          <c:order val="1"/>
          <c:tx>
            <c:strRef>
              <c:f>bodycheckup_xray_pivot!$C$2</c:f>
              <c:strCache>
                <c:ptCount val="1"/>
                <c:pt idx="0">
                  <c:v>Xray in Bodycheckup</c:v>
                </c:pt>
              </c:strCache>
            </c:strRef>
          </c:tx>
          <c:spPr>
            <a:solidFill>
              <a:schemeClr val="accent2"/>
            </a:solidFill>
            <a:ln>
              <a:noFill/>
            </a:ln>
            <a:effectLst/>
          </c:spPr>
          <c:invertIfNegative val="0"/>
          <c:dLbls>
            <c:spPr>
              <a:noFill/>
              <a:ln>
                <a:noFill/>
              </a:ln>
              <a:effectLst/>
            </c:spPr>
            <c:txPr>
              <a:bodyPr rot="0" spcFirstLastPara="1" vertOverflow="ellipsis" vert="horz" wrap="square" lIns="108000"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bodycheckup_xray_pivot!$A$3:$A$8</c:f>
              <c:strCache>
                <c:ptCount val="5"/>
                <c:pt idx="0">
                  <c:v>2021-22</c:v>
                </c:pt>
                <c:pt idx="1">
                  <c:v>2022-23</c:v>
                </c:pt>
                <c:pt idx="2">
                  <c:v>2023-24</c:v>
                </c:pt>
                <c:pt idx="3">
                  <c:v>2024-25</c:v>
                </c:pt>
                <c:pt idx="4">
                  <c:v>2025-26</c:v>
                </c:pt>
              </c:strCache>
            </c:strRef>
          </c:cat>
          <c:val>
            <c:numRef>
              <c:f>bodycheckup_xray_pivot!$C$3:$C$8</c:f>
              <c:numCache>
                <c:formatCode>General</c:formatCode>
                <c:ptCount val="5"/>
                <c:pt idx="0">
                  <c:v>3678</c:v>
                </c:pt>
                <c:pt idx="1">
                  <c:v>4173</c:v>
                </c:pt>
                <c:pt idx="2">
                  <c:v>4341</c:v>
                </c:pt>
                <c:pt idx="3">
                  <c:v>4048</c:v>
                </c:pt>
                <c:pt idx="4">
                  <c:v>3484</c:v>
                </c:pt>
              </c:numCache>
            </c:numRef>
          </c:val>
          <c:extLst>
            <c:ext xmlns:c16="http://schemas.microsoft.com/office/drawing/2014/chart" uri="{C3380CC4-5D6E-409C-BE32-E72D297353CC}">
              <c16:uniqueId val="{00000001-CF9D-45F5-8AEE-C8D39F3CB624}"/>
            </c:ext>
          </c:extLst>
        </c:ser>
        <c:dLbls>
          <c:dLblPos val="outEnd"/>
          <c:showLegendKey val="0"/>
          <c:showVal val="1"/>
          <c:showCatName val="0"/>
          <c:showSerName val="0"/>
          <c:showPercent val="0"/>
          <c:showBubbleSize val="0"/>
        </c:dLbls>
        <c:gapWidth val="219"/>
        <c:overlap val="-27"/>
        <c:axId val="482471007"/>
        <c:axId val="482471487"/>
      </c:barChart>
      <c:catAx>
        <c:axId val="48247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2471487"/>
        <c:crosses val="autoZero"/>
        <c:auto val="1"/>
        <c:lblAlgn val="ctr"/>
        <c:lblOffset val="100"/>
        <c:noMultiLvlLbl val="0"/>
      </c:catAx>
      <c:valAx>
        <c:axId val="48247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247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[Patient_Data.xlsx]bodycheckup_xray_pivot!PivotTable6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bodycheckup_xray_pivot!$H$3</c:f>
              <c:strCache>
                <c:ptCount val="1"/>
                <c:pt idx="0">
                  <c:v>Xray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bodycheckup_xray_pivot!$G$4:$G$28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bodycheckup_xray_pivot!$H$4:$H$28</c:f>
              <c:numCache>
                <c:formatCode>General</c:formatCode>
                <c:ptCount val="12"/>
                <c:pt idx="0">
                  <c:v>2975</c:v>
                </c:pt>
                <c:pt idx="1">
                  <c:v>2832</c:v>
                </c:pt>
                <c:pt idx="2">
                  <c:v>2985</c:v>
                </c:pt>
                <c:pt idx="3">
                  <c:v>3537</c:v>
                </c:pt>
                <c:pt idx="4">
                  <c:v>3101</c:v>
                </c:pt>
                <c:pt idx="5">
                  <c:v>3442</c:v>
                </c:pt>
                <c:pt idx="6">
                  <c:v>2853</c:v>
                </c:pt>
                <c:pt idx="7">
                  <c:v>2968</c:v>
                </c:pt>
                <c:pt idx="8">
                  <c:v>3230</c:v>
                </c:pt>
                <c:pt idx="9">
                  <c:v>2927</c:v>
                </c:pt>
                <c:pt idx="10">
                  <c:v>3397</c:v>
                </c:pt>
                <c:pt idx="11">
                  <c:v>3604</c:v>
                </c:pt>
              </c:numCache>
            </c:numRef>
          </c:val>
          <c:smooth val="0"/>
          <c:extLst>
            <c:ext xmlns:c16="http://schemas.microsoft.com/office/drawing/2014/chart" uri="{C3380CC4-5D6E-409C-BE32-E72D297353CC}">
              <c16:uniqueId val="{00000000-9CC2-4858-A825-717F95DE4853}"/>
            </c:ext>
          </c:extLst>
        </c:ser>
        <c:ser>
          <c:idx val="1"/>
          <c:order val="1"/>
          <c:tx>
            <c:strRef>
              <c:f>bodycheckup_xray_pivot!$I$3</c:f>
              <c:strCache>
                <c:ptCount val="1"/>
                <c:pt idx="0">
                  <c:v>Xray in Bodycheckup</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bodycheckup_xray_pivot!$G$4:$G$28</c:f>
              <c:multiLvlStrCache>
                <c:ptCount val="12"/>
                <c:lvl>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bodycheckup_xray_pivot!$I$4:$I$28</c:f>
              <c:numCache>
                <c:formatCode>General</c:formatCode>
                <c:ptCount val="12"/>
                <c:pt idx="0">
                  <c:v>1594</c:v>
                </c:pt>
                <c:pt idx="1">
                  <c:v>1567</c:v>
                </c:pt>
                <c:pt idx="2">
                  <c:v>1707</c:v>
                </c:pt>
                <c:pt idx="3">
                  <c:v>1720</c:v>
                </c:pt>
                <c:pt idx="4">
                  <c:v>1426</c:v>
                </c:pt>
                <c:pt idx="5">
                  <c:v>1673</c:v>
                </c:pt>
                <c:pt idx="6">
                  <c:v>1337</c:v>
                </c:pt>
                <c:pt idx="7">
                  <c:v>1301</c:v>
                </c:pt>
                <c:pt idx="8">
                  <c:v>1624</c:v>
                </c:pt>
                <c:pt idx="9">
                  <c:v>1325</c:v>
                </c:pt>
                <c:pt idx="10">
                  <c:v>1979</c:v>
                </c:pt>
                <c:pt idx="11">
                  <c:v>2471</c:v>
                </c:pt>
              </c:numCache>
            </c:numRef>
          </c:val>
          <c:smooth val="0"/>
          <c:extLst>
            <c:ext xmlns:c16="http://schemas.microsoft.com/office/drawing/2014/chart" uri="{C3380CC4-5D6E-409C-BE32-E72D297353CC}">
              <c16:uniqueId val="{00000001-9CC2-4858-A825-717F95DE4853}"/>
            </c:ext>
          </c:extLst>
        </c:ser>
        <c:dLbls>
          <c:dLblPos val="t"/>
          <c:showLegendKey val="0"/>
          <c:showVal val="1"/>
          <c:showCatName val="0"/>
          <c:showSerName val="0"/>
          <c:showPercent val="0"/>
          <c:showBubbleSize val="0"/>
        </c:dLbls>
        <c:smooth val="0"/>
        <c:axId val="482478687"/>
        <c:axId val="482488287"/>
      </c:lineChart>
      <c:catAx>
        <c:axId val="48247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482488287"/>
        <c:crosses val="autoZero"/>
        <c:auto val="1"/>
        <c:lblAlgn val="ctr"/>
        <c:lblOffset val="100"/>
        <c:noMultiLvlLbl val="0"/>
      </c:catAx>
      <c:valAx>
        <c:axId val="48248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247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[Patient_Data.xlsx]bodycheckup_xray_pivot!PivotTable7</c:name>
    <c:fmtId val="6"/>
  </c:pivotSource>
  <c:chart>
    <c:title>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F0F3D4C-CDF2-4844-A27C-DCBE9CD0F9CD}"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5CC29ED-D4B9-410A-853A-93BF84A07BAE}"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F0F3D4C-CDF2-4844-A27C-DCBE9CD0F9CD}"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5CC29ED-D4B9-410A-853A-93BF84A07BAE}"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F0F3D4C-CDF2-4844-A27C-DCBE9CD0F9CD}"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5CC29ED-D4B9-410A-853A-93BF84A07BAE}"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57E28F4-A4CC-40E1-8478-CD1B254DD0CF}"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44B916D-3D3C-4C84-986D-97124C126293}"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bodycheckup_xray_pivot!$B$44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76-4D8E-96AE-C898DA0646F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76-4D8E-96AE-C898DA0646F8}"/>
              </c:ext>
            </c:extLst>
          </c:dPt>
          <c:dLbls>
            <c:dLbl>
              <c:idx val="0"/>
              <c:tx>
                <c:rich>
                  <a:bodyPr/>
                  <a:lstStyle/>
                  <a:p>
                    <a:fld id="{A44B916D-3D3C-4C84-986D-97124C126293}"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A76-4D8E-96AE-C898DA0646F8}"/>
                </c:ext>
              </c:extLst>
            </c:dLbl>
            <c:dLbl>
              <c:idx val="1"/>
              <c:tx>
                <c:rich>
                  <a:bodyPr/>
                  <a:lstStyle/>
                  <a:p>
                    <a:fld id="{F57E28F4-A4CC-40E1-8478-CD1B254DD0CF}"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A76-4D8E-96AE-C898DA0646F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bodycheckup_xray_pivot!$A$45:$A$47</c:f>
              <c:strCache>
                <c:ptCount val="2"/>
                <c:pt idx="0">
                  <c:v>Xray</c:v>
                </c:pt>
                <c:pt idx="1">
                  <c:v>Xray in Bodycheckup</c:v>
                </c:pt>
              </c:strCache>
            </c:strRef>
          </c:cat>
          <c:val>
            <c:numRef>
              <c:f>bodycheckup_xray_pivot!$B$45:$B$47</c:f>
              <c:numCache>
                <c:formatCode>General</c:formatCode>
                <c:ptCount val="2"/>
                <c:pt idx="0">
                  <c:v>37054</c:v>
                </c:pt>
                <c:pt idx="1">
                  <c:v>19724</c:v>
                </c:pt>
              </c:numCache>
            </c:numRef>
          </c:val>
          <c:extLst>
            <c:ext xmlns:c16="http://schemas.microsoft.com/office/drawing/2014/chart" uri="{C3380CC4-5D6E-409C-BE32-E72D297353CC}">
              <c16:uniqueId val="{00000004-DA76-4D8E-96AE-C898DA0646F8}"/>
            </c:ext>
          </c:extLst>
        </c:ser>
        <c:dLbls>
          <c:dLblPos val="ctr"/>
          <c:showLegendKey val="0"/>
          <c:showVal val="1"/>
          <c:showCatName val="0"/>
          <c:showSerName val="0"/>
          <c:showPercent val="0"/>
          <c:showBubbleSize val="0"/>
          <c:showLeaderLines val="1"/>
        </c:dLbls>
        <c:firstSliceAng val="125"/>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ysClr val="windowText" lastClr="000000">
          <a:lumMod val="75000"/>
          <a:lumOff val="25000"/>
        </a:sysClr>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withinLinear" id="14">
  <a:schemeClr val="accent1"/>
</cs:colorStyle>
</file>

<file path=xl/charts/colors29.xml><?xml version="1.0" encoding="utf-8"?>
<cs:colorStyle xmlns:cs="http://schemas.microsoft.com/office/drawing/2012/chartStyle" xmlns:a="http://schemas.openxmlformats.org/drawingml/2006/main" meth="withinLinear" id="14">
  <a:schemeClr val="accent1"/>
</cs:colorStyle>
</file>

<file path=xl/charts/colors30.xml><?xml version="1.0" encoding="utf-8"?>
<cs:colorStyle xmlns:cs="http://schemas.microsoft.com/office/drawing/2012/chartStyle" xmlns:a="http://schemas.openxmlformats.org/drawingml/2006/main" meth="withinLinearReversed" id="21">
  <a:schemeClr val="accent1"/>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hyperlink" Target="#mamography_dashboard!A1"/><Relationship Id="rId3" Type="http://schemas.openxmlformats.org/officeDocument/2006/relationships/chart" Target="../charts/chart15.xml"/><Relationship Id="rId7" Type="http://schemas.openxmlformats.org/officeDocument/2006/relationships/hyperlink" Target="#bodycheckup_dashboard!A1"/><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hyperlink" Target="#Dental_dashboard!A1"/><Relationship Id="rId5" Type="http://schemas.openxmlformats.org/officeDocument/2006/relationships/hyperlink" Target="#Xray_dashboard!A1"/><Relationship Id="rId4" Type="http://schemas.openxmlformats.org/officeDocument/2006/relationships/hyperlink" Target="#sonography_dashboard!A1"/></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8" Type="http://schemas.openxmlformats.org/officeDocument/2006/relationships/hyperlink" Target="#mamography_dashboard!A1"/><Relationship Id="rId3" Type="http://schemas.openxmlformats.org/officeDocument/2006/relationships/chart" Target="../charts/chart21.xml"/><Relationship Id="rId7" Type="http://schemas.openxmlformats.org/officeDocument/2006/relationships/hyperlink" Target="#bodycheckup_dashboard!A1"/><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hyperlink" Target="#Dental_dashboard!A1"/><Relationship Id="rId5" Type="http://schemas.openxmlformats.org/officeDocument/2006/relationships/hyperlink" Target="#Xray_dashboard!A1"/><Relationship Id="rId4" Type="http://schemas.openxmlformats.org/officeDocument/2006/relationships/hyperlink" Target="#sonography_dashboard!A1"/></Relationships>
</file>

<file path=xl/drawings/_rels/drawing7.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8.xml.rels><?xml version="1.0" encoding="UTF-8" standalone="yes"?>
<Relationships xmlns="http://schemas.openxmlformats.org/package/2006/relationships"><Relationship Id="rId8" Type="http://schemas.openxmlformats.org/officeDocument/2006/relationships/hyperlink" Target="#mamography_dashboard!A1"/><Relationship Id="rId3" Type="http://schemas.openxmlformats.org/officeDocument/2006/relationships/chart" Target="../charts/chart27.xml"/><Relationship Id="rId7" Type="http://schemas.openxmlformats.org/officeDocument/2006/relationships/hyperlink" Target="#bodycheckup_dashboard!A1"/><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hyperlink" Target="#Dental_dashboard!A1"/><Relationship Id="rId5" Type="http://schemas.openxmlformats.org/officeDocument/2006/relationships/hyperlink" Target="#Xray_dashboard!A1"/><Relationship Id="rId4" Type="http://schemas.openxmlformats.org/officeDocument/2006/relationships/hyperlink" Target="#sonography_dashboard!A1"/></Relationships>
</file>

<file path=xl/drawings/_rels/drawing9.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chart" Target="../charts/chart33.xml"/><Relationship Id="rId5" Type="http://schemas.openxmlformats.org/officeDocument/2006/relationships/chart" Target="../charts/chart32.xml"/><Relationship Id="rId4" Type="http://schemas.openxmlformats.org/officeDocument/2006/relationships/chart" Target="../charts/chart31.xml"/></Relationships>
</file>

<file path=xl/drawings/_rels/drawing10.xml.rels><?xml version="1.0" encoding="UTF-8" standalone="yes"?>
<Relationships xmlns="http://schemas.openxmlformats.org/package/2006/relationships"><Relationship Id="rId8" Type="http://schemas.openxmlformats.org/officeDocument/2006/relationships/hyperlink" Target="#mamography_dashboard!A1"/><Relationship Id="rId3" Type="http://schemas.openxmlformats.org/officeDocument/2006/relationships/chart" Target="../charts/chart36.xml"/><Relationship Id="rId7" Type="http://schemas.openxmlformats.org/officeDocument/2006/relationships/hyperlink" Target="#bodycheckup_dashboard!A1"/><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hyperlink" Target="#Dental_dashboard!A1"/><Relationship Id="rId5" Type="http://schemas.openxmlformats.org/officeDocument/2006/relationships/hyperlink" Target="#Xray_dashboard!A1"/><Relationship Id="rId4" Type="http://schemas.openxmlformats.org/officeDocument/2006/relationships/hyperlink" Target="#sonography_dashboard!A1"/></Relationships>
</file>

<file path=xl/drawings/_rels/drawing11.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5" Type="http://schemas.openxmlformats.org/officeDocument/2006/relationships/chart" Target="../charts/chart41.xml"/><Relationship Id="rId4" Type="http://schemas.openxmlformats.org/officeDocument/2006/relationships/chart" Target="../charts/chart40.xml"/></Relationships>
</file>

<file path=xl/drawings/_rels/drawing12.xml.rels><?xml version="1.0" encoding="UTF-8" standalone="yes"?>
<Relationships xmlns="http://schemas.openxmlformats.org/package/2006/relationships"><Relationship Id="rId8" Type="http://schemas.openxmlformats.org/officeDocument/2006/relationships/hyperlink" Target="#mamography_dashboard!A1"/><Relationship Id="rId3" Type="http://schemas.openxmlformats.org/officeDocument/2006/relationships/chart" Target="../charts/chart44.xml"/><Relationship Id="rId7" Type="http://schemas.openxmlformats.org/officeDocument/2006/relationships/hyperlink" Target="#bodycheckup_dashboard!A1"/><Relationship Id="rId2" Type="http://schemas.openxmlformats.org/officeDocument/2006/relationships/chart" Target="../charts/chart43.xml"/><Relationship Id="rId1" Type="http://schemas.openxmlformats.org/officeDocument/2006/relationships/chart" Target="../charts/chart42.xml"/><Relationship Id="rId6" Type="http://schemas.openxmlformats.org/officeDocument/2006/relationships/hyperlink" Target="#Dental_dashboard!A1"/><Relationship Id="rId5" Type="http://schemas.openxmlformats.org/officeDocument/2006/relationships/hyperlink" Target="#Xray_dashboard!A1"/><Relationship Id="rId4" Type="http://schemas.openxmlformats.org/officeDocument/2006/relationships/hyperlink" Target="#sonography_dashboard!A1"/></Relationships>
</file>

<file path=xl/drawings/_rels/drawing13.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hyperlink" Target="#Bodycheckup_Xray_dashboard!A1"/><Relationship Id="rId1" Type="http://schemas.openxmlformats.org/officeDocument/2006/relationships/hyperlink" Target="#Bodycheckup_Sonography_dashboar!A1"/><Relationship Id="rId5" Type="http://schemas.openxmlformats.org/officeDocument/2006/relationships/chart" Target="../charts/chart50.xml"/><Relationship Id="rId4" Type="http://schemas.openxmlformats.org/officeDocument/2006/relationships/chart" Target="../charts/chart49.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hyperlink" Target="#Bodycheckup_Sonography_dashboar!A1"/><Relationship Id="rId1" Type="http://schemas.openxmlformats.org/officeDocument/2006/relationships/hyperlink" Target="#Bodycheckup_Xray_dashboard!A1"/><Relationship Id="rId5" Type="http://schemas.openxmlformats.org/officeDocument/2006/relationships/chart" Target="../charts/chart56.xml"/><Relationship Id="rId4" Type="http://schemas.openxmlformats.org/officeDocument/2006/relationships/chart" Target="../charts/chart55.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38100</xdr:rowOff>
    </xdr:from>
    <xdr:to>
      <xdr:col>6</xdr:col>
      <xdr:colOff>411480</xdr:colOff>
      <xdr:row>29</xdr:row>
      <xdr:rowOff>38100</xdr:rowOff>
    </xdr:to>
    <xdr:graphicFrame macro="">
      <xdr:nvGraphicFramePr>
        <xdr:cNvPr id="2" name="Chart 1">
          <a:extLst>
            <a:ext uri="{FF2B5EF4-FFF2-40B4-BE49-F238E27FC236}">
              <a16:creationId xmlns:a16="http://schemas.microsoft.com/office/drawing/2014/main" id="{5943DE1F-E67E-B7A4-0D28-79F831D28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312420</xdr:colOff>
      <xdr:row>27</xdr:row>
      <xdr:rowOff>167640</xdr:rowOff>
    </xdr:from>
    <xdr:to>
      <xdr:col>12</xdr:col>
      <xdr:colOff>30480</xdr:colOff>
      <xdr:row>42</xdr:row>
      <xdr:rowOff>167640</xdr:rowOff>
    </xdr:to>
    <xdr:graphicFrame macro="">
      <xdr:nvGraphicFramePr>
        <xdr:cNvPr id="3" name="Chart 2">
          <a:extLst>
            <a:ext uri="{FF2B5EF4-FFF2-40B4-BE49-F238E27FC236}">
              <a16:creationId xmlns:a16="http://schemas.microsoft.com/office/drawing/2014/main" id="{C837D714-099F-0783-00D1-5348F907E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601980</xdr:colOff>
      <xdr:row>5</xdr:row>
      <xdr:rowOff>114300</xdr:rowOff>
    </xdr:from>
    <xdr:to>
      <xdr:col>8</xdr:col>
      <xdr:colOff>601980</xdr:colOff>
      <xdr:row>19</xdr:row>
      <xdr:rowOff>20955</xdr:rowOff>
    </xdr:to>
    <mc:AlternateContent xmlns:mc="http://schemas.openxmlformats.org/markup-compatibility/2006" xmlns:a14="http://schemas.microsoft.com/office/drawing/2010/main">
      <mc:Choice Requires="a14">
        <xdr:graphicFrame macro="">
          <xdr:nvGraphicFramePr>
            <xdr:cNvPr id="4" name="Year ">
              <a:extLst>
                <a:ext uri="{FF2B5EF4-FFF2-40B4-BE49-F238E27FC236}">
                  <a16:creationId xmlns:a16="http://schemas.microsoft.com/office/drawing/2014/main" id="{6887CE52-3F62-2775-EC64-879923BDDE1C}"/>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4152900" y="1028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xdr:colOff>
      <xdr:row>5</xdr:row>
      <xdr:rowOff>45720</xdr:rowOff>
    </xdr:from>
    <xdr:to>
      <xdr:col>16</xdr:col>
      <xdr:colOff>22860</xdr:colOff>
      <xdr:row>18</xdr:row>
      <xdr:rowOff>135255</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8DD24B1E-FB7B-A3BF-35AB-DD189CF2783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037320" y="960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640080</xdr:colOff>
      <xdr:row>7</xdr:row>
      <xdr:rowOff>45720</xdr:rowOff>
    </xdr:from>
    <xdr:to>
      <xdr:col>12</xdr:col>
      <xdr:colOff>388620</xdr:colOff>
      <xdr:row>20</xdr:row>
      <xdr:rowOff>135255</xdr:rowOff>
    </xdr:to>
    <mc:AlternateContent xmlns:mc="http://schemas.openxmlformats.org/markup-compatibility/2006" xmlns:a14="http://schemas.microsoft.com/office/drawing/2010/main">
      <mc:Choice Requires="a14">
        <xdr:graphicFrame macro="">
          <xdr:nvGraphicFramePr>
            <xdr:cNvPr id="6" name="Service ">
              <a:extLst>
                <a:ext uri="{FF2B5EF4-FFF2-40B4-BE49-F238E27FC236}">
                  <a16:creationId xmlns:a16="http://schemas.microsoft.com/office/drawing/2014/main" id="{D7FAFC10-1677-57E2-756C-FBA20120BE0B}"/>
                </a:ext>
              </a:extLst>
            </xdr:cNvPr>
            <xdr:cNvGraphicFramePr/>
          </xdr:nvGraphicFramePr>
          <xdr:xfrm>
            <a:off x="0" y="0"/>
            <a:ext cx="0" cy="0"/>
          </xdr:xfrm>
          <a:graphic>
            <a:graphicData uri="http://schemas.microsoft.com/office/drawing/2010/slicer">
              <sle:slicer xmlns:sle="http://schemas.microsoft.com/office/drawing/2010/slicer" name="Service "/>
            </a:graphicData>
          </a:graphic>
        </xdr:graphicFrame>
      </mc:Choice>
      <mc:Fallback xmlns="">
        <xdr:sp macro="" textlink="">
          <xdr:nvSpPr>
            <xdr:cNvPr id="0" name=""/>
            <xdr:cNvSpPr>
              <a:spLocks noTextEdit="1"/>
            </xdr:cNvSpPr>
          </xdr:nvSpPr>
          <xdr:spPr>
            <a:xfrm>
              <a:off x="6964680" y="1325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327660</xdr:colOff>
      <xdr:row>30</xdr:row>
      <xdr:rowOff>175260</xdr:rowOff>
    </xdr:from>
    <xdr:to>
      <xdr:col>13</xdr:col>
      <xdr:colOff>243840</xdr:colOff>
      <xdr:row>43</xdr:row>
      <xdr:rowOff>38100</xdr:rowOff>
    </xdr:to>
    <xdr:graphicFrame macro="">
      <xdr:nvGraphicFramePr>
        <xdr:cNvPr id="9" name="Chart 8">
          <a:extLst>
            <a:ext uri="{FF2B5EF4-FFF2-40B4-BE49-F238E27FC236}">
              <a16:creationId xmlns:a16="http://schemas.microsoft.com/office/drawing/2014/main" id="{6562E054-D407-9D4F-B429-4362CD5E0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449580</xdr:colOff>
      <xdr:row>10</xdr:row>
      <xdr:rowOff>7620</xdr:rowOff>
    </xdr:from>
    <xdr:to>
      <xdr:col>15</xdr:col>
      <xdr:colOff>15240</xdr:colOff>
      <xdr:row>22</xdr:row>
      <xdr:rowOff>83820</xdr:rowOff>
    </xdr:to>
    <xdr:graphicFrame macro="">
      <xdr:nvGraphicFramePr>
        <xdr:cNvPr id="10" name="Chart 9">
          <a:extLst>
            <a:ext uri="{FF2B5EF4-FFF2-40B4-BE49-F238E27FC236}">
              <a16:creationId xmlns:a16="http://schemas.microsoft.com/office/drawing/2014/main" id="{1E7F9299-F02E-EC99-CE6D-87C5A15FF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188322</xdr:colOff>
      <xdr:row>0</xdr:row>
      <xdr:rowOff>76200</xdr:rowOff>
    </xdr:from>
    <xdr:to>
      <xdr:col>27</xdr:col>
      <xdr:colOff>522514</xdr:colOff>
      <xdr:row>44</xdr:row>
      <xdr:rowOff>108857</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188322" y="76200"/>
          <a:ext cx="16793392" cy="8175171"/>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endParaRPr lang="en-IN" sz="1100"/>
        </a:p>
      </xdr:txBody>
    </xdr:sp>
    <xdr:clientData/>
  </xdr:twoCellAnchor>
  <xdr:twoCellAnchor>
    <xdr:from>
      <xdr:col>2</xdr:col>
      <xdr:colOff>502919</xdr:colOff>
      <xdr:row>0</xdr:row>
      <xdr:rowOff>185054</xdr:rowOff>
    </xdr:from>
    <xdr:to>
      <xdr:col>27</xdr:col>
      <xdr:colOff>359229</xdr:colOff>
      <xdr:row>43</xdr:row>
      <xdr:rowOff>97972</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1722119" y="185054"/>
          <a:ext cx="15096310" cy="7870375"/>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solidFill>
              <a:sysClr val="windowText" lastClr="000000"/>
            </a:solidFill>
          </a:endParaRPr>
        </a:p>
      </xdr:txBody>
    </xdr:sp>
    <xdr:clientData/>
  </xdr:twoCellAnchor>
  <xdr:twoCellAnchor>
    <xdr:from>
      <xdr:col>3</xdr:col>
      <xdr:colOff>57759</xdr:colOff>
      <xdr:row>1</xdr:row>
      <xdr:rowOff>126467</xdr:rowOff>
    </xdr:from>
    <xdr:to>
      <xdr:col>7</xdr:col>
      <xdr:colOff>97970</xdr:colOff>
      <xdr:row>4</xdr:row>
      <xdr:rowOff>50267</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1886559" y="311524"/>
          <a:ext cx="2478611" cy="478972"/>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Patient Data Analysis</a:t>
          </a:r>
          <a:endParaRPr lang="en-IN" sz="2000"/>
        </a:p>
      </xdr:txBody>
    </xdr:sp>
    <xdr:clientData/>
  </xdr:twoCellAnchor>
  <xdr:twoCellAnchor>
    <xdr:from>
      <xdr:col>13</xdr:col>
      <xdr:colOff>111356</xdr:colOff>
      <xdr:row>1</xdr:row>
      <xdr:rowOff>149223</xdr:rowOff>
    </xdr:from>
    <xdr:to>
      <xdr:col>15</xdr:col>
      <xdr:colOff>65636</xdr:colOff>
      <xdr:row>4</xdr:row>
      <xdr:rowOff>111123</xdr:rowOff>
    </xdr:to>
    <xdr:sp macro="" textlink="">
      <xdr:nvSpPr>
        <xdr:cNvPr id="14" name="Rectangle: Rounded Corners 13">
          <a:extLst>
            <a:ext uri="{FF2B5EF4-FFF2-40B4-BE49-F238E27FC236}">
              <a16:creationId xmlns:a16="http://schemas.microsoft.com/office/drawing/2014/main" id="{00000000-0008-0000-0300-00000E000000}"/>
            </a:ext>
          </a:extLst>
        </xdr:cNvPr>
        <xdr:cNvSpPr/>
      </xdr:nvSpPr>
      <xdr:spPr>
        <a:xfrm>
          <a:off x="8009383" y="334574"/>
          <a:ext cx="1169361" cy="5179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359556</xdr:colOff>
      <xdr:row>1</xdr:row>
      <xdr:rowOff>149223</xdr:rowOff>
    </xdr:from>
    <xdr:to>
      <xdr:col>16</xdr:col>
      <xdr:colOff>280086</xdr:colOff>
      <xdr:row>4</xdr:row>
      <xdr:rowOff>118743</xdr:rowOff>
    </xdr:to>
    <xdr:sp macro="" textlink="">
      <xdr:nvSpPr>
        <xdr:cNvPr id="15" name="Rectangle: Rounded Corners 14">
          <a:extLst>
            <a:ext uri="{FF2B5EF4-FFF2-40B4-BE49-F238E27FC236}">
              <a16:creationId xmlns:a16="http://schemas.microsoft.com/office/drawing/2014/main" id="{00000000-0008-0000-0300-00000F000000}"/>
            </a:ext>
          </a:extLst>
        </xdr:cNvPr>
        <xdr:cNvSpPr/>
      </xdr:nvSpPr>
      <xdr:spPr>
        <a:xfrm>
          <a:off x="8257583" y="334574"/>
          <a:ext cx="1743152" cy="5255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chemeClr val="tx1"/>
              </a:solidFill>
            </a:rPr>
            <a:t>Sonography 2021-26</a:t>
          </a:r>
        </a:p>
        <a:p>
          <a:pPr algn="l"/>
          <a:endParaRPr lang="en-IN" sz="1200" b="1">
            <a:solidFill>
              <a:schemeClr val="tx1"/>
            </a:solidFill>
          </a:endParaRPr>
        </a:p>
      </xdr:txBody>
    </xdr:sp>
    <xdr:clientData/>
  </xdr:twoCellAnchor>
  <xdr:twoCellAnchor>
    <xdr:from>
      <xdr:col>13</xdr:col>
      <xdr:colOff>589241</xdr:colOff>
      <xdr:row>3</xdr:row>
      <xdr:rowOff>21087</xdr:rowOff>
    </xdr:from>
    <xdr:to>
      <xdr:col>15</xdr:col>
      <xdr:colOff>215861</xdr:colOff>
      <xdr:row>4</xdr:row>
      <xdr:rowOff>43947</xdr:rowOff>
    </xdr:to>
    <xdr:sp macro="" textlink="">
      <xdr:nvSpPr>
        <xdr:cNvPr id="16" name="Rectangle 15">
          <a:extLst>
            <a:ext uri="{FF2B5EF4-FFF2-40B4-BE49-F238E27FC236}">
              <a16:creationId xmlns:a16="http://schemas.microsoft.com/office/drawing/2014/main" id="{00000000-0008-0000-0300-000010000000}"/>
            </a:ext>
          </a:extLst>
        </xdr:cNvPr>
        <xdr:cNvSpPr/>
      </xdr:nvSpPr>
      <xdr:spPr>
        <a:xfrm>
          <a:off x="8487268" y="577141"/>
          <a:ext cx="841701" cy="2082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effectLst/>
              <a:latin typeface="+mn-lt"/>
              <a:ea typeface="+mn-ea"/>
              <a:cs typeface="+mn-cs"/>
            </a:rPr>
            <a:t>53,390</a:t>
          </a:r>
          <a:endParaRPr lang="en-IN" sz="1400" b="1">
            <a:solidFill>
              <a:schemeClr val="tx1"/>
            </a:solidFill>
          </a:endParaRPr>
        </a:p>
      </xdr:txBody>
    </xdr:sp>
    <xdr:clientData/>
  </xdr:twoCellAnchor>
  <xdr:twoCellAnchor>
    <xdr:from>
      <xdr:col>18</xdr:col>
      <xdr:colOff>151725</xdr:colOff>
      <xdr:row>1</xdr:row>
      <xdr:rowOff>163874</xdr:rowOff>
    </xdr:from>
    <xdr:to>
      <xdr:col>20</xdr:col>
      <xdr:colOff>106005</xdr:colOff>
      <xdr:row>4</xdr:row>
      <xdr:rowOff>125774</xdr:rowOff>
    </xdr:to>
    <xdr:sp macro="" textlink="">
      <xdr:nvSpPr>
        <xdr:cNvPr id="18" name="Rectangle: Rounded Corners 17">
          <a:extLst>
            <a:ext uri="{FF2B5EF4-FFF2-40B4-BE49-F238E27FC236}">
              <a16:creationId xmlns:a16="http://schemas.microsoft.com/office/drawing/2014/main" id="{00000000-0008-0000-0300-000012000000}"/>
            </a:ext>
          </a:extLst>
        </xdr:cNvPr>
        <xdr:cNvSpPr/>
      </xdr:nvSpPr>
      <xdr:spPr>
        <a:xfrm>
          <a:off x="11087455" y="349225"/>
          <a:ext cx="1169361" cy="5179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387945</xdr:colOff>
      <xdr:row>1</xdr:row>
      <xdr:rowOff>159223</xdr:rowOff>
    </xdr:from>
    <xdr:to>
      <xdr:col>21</xdr:col>
      <xdr:colOff>308746</xdr:colOff>
      <xdr:row>4</xdr:row>
      <xdr:rowOff>128743</xdr:rowOff>
    </xdr:to>
    <xdr:sp macro="" textlink="">
      <xdr:nvSpPr>
        <xdr:cNvPr id="19" name="Rectangle: Rounded Corners 18">
          <a:extLst>
            <a:ext uri="{FF2B5EF4-FFF2-40B4-BE49-F238E27FC236}">
              <a16:creationId xmlns:a16="http://schemas.microsoft.com/office/drawing/2014/main" id="{00000000-0008-0000-0300-000013000000}"/>
            </a:ext>
          </a:extLst>
        </xdr:cNvPr>
        <xdr:cNvSpPr/>
      </xdr:nvSpPr>
      <xdr:spPr>
        <a:xfrm>
          <a:off x="11323675" y="344574"/>
          <a:ext cx="1743422" cy="5255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ysClr val="windowText" lastClr="000000"/>
              </a:solidFill>
            </a:rPr>
            <a:t>X-ray 2021-26</a:t>
          </a:r>
        </a:p>
      </xdr:txBody>
    </xdr:sp>
    <xdr:clientData/>
  </xdr:twoCellAnchor>
  <xdr:twoCellAnchor>
    <xdr:from>
      <xdr:col>8</xdr:col>
      <xdr:colOff>70992</xdr:colOff>
      <xdr:row>5</xdr:row>
      <xdr:rowOff>132393</xdr:rowOff>
    </xdr:from>
    <xdr:to>
      <xdr:col>10</xdr:col>
      <xdr:colOff>25273</xdr:colOff>
      <xdr:row>8</xdr:row>
      <xdr:rowOff>94293</xdr:rowOff>
    </xdr:to>
    <xdr:sp macro="" textlink="">
      <xdr:nvSpPr>
        <xdr:cNvPr id="26" name="Rectangle: Rounded Corners 25">
          <a:extLst>
            <a:ext uri="{FF2B5EF4-FFF2-40B4-BE49-F238E27FC236}">
              <a16:creationId xmlns:a16="http://schemas.microsoft.com/office/drawing/2014/main" id="{00000000-0008-0000-0300-00001A000000}"/>
            </a:ext>
          </a:extLst>
        </xdr:cNvPr>
        <xdr:cNvSpPr/>
      </xdr:nvSpPr>
      <xdr:spPr>
        <a:xfrm>
          <a:off x="4931316" y="1059150"/>
          <a:ext cx="1169362" cy="5179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319761</xdr:colOff>
      <xdr:row>5</xdr:row>
      <xdr:rowOff>127742</xdr:rowOff>
    </xdr:from>
    <xdr:to>
      <xdr:col>11</xdr:col>
      <xdr:colOff>240561</xdr:colOff>
      <xdr:row>8</xdr:row>
      <xdr:rowOff>97262</xdr:rowOff>
    </xdr:to>
    <xdr:sp macro="" textlink="">
      <xdr:nvSpPr>
        <xdr:cNvPr id="27" name="Rectangle: Rounded Corners 26">
          <a:extLst>
            <a:ext uri="{FF2B5EF4-FFF2-40B4-BE49-F238E27FC236}">
              <a16:creationId xmlns:a16="http://schemas.microsoft.com/office/drawing/2014/main" id="{00000000-0008-0000-0300-00001B000000}"/>
            </a:ext>
          </a:extLst>
        </xdr:cNvPr>
        <xdr:cNvSpPr/>
      </xdr:nvSpPr>
      <xdr:spPr>
        <a:xfrm>
          <a:off x="5180085" y="1054499"/>
          <a:ext cx="1743422" cy="5255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ysClr val="windowText" lastClr="000000"/>
              </a:solidFill>
            </a:rPr>
            <a:t>Body Checkup 2021-26</a:t>
          </a:r>
        </a:p>
      </xdr:txBody>
    </xdr:sp>
    <xdr:clientData/>
  </xdr:twoCellAnchor>
  <xdr:twoCellAnchor>
    <xdr:from>
      <xdr:col>19</xdr:col>
      <xdr:colOff>33005</xdr:colOff>
      <xdr:row>3</xdr:row>
      <xdr:rowOff>23467</xdr:rowOff>
    </xdr:from>
    <xdr:to>
      <xdr:col>20</xdr:col>
      <xdr:colOff>274140</xdr:colOff>
      <xdr:row>4</xdr:row>
      <xdr:rowOff>46327</xdr:rowOff>
    </xdr:to>
    <xdr:sp macro="" textlink="">
      <xdr:nvSpPr>
        <xdr:cNvPr id="30" name="Rectangle 29">
          <a:extLst>
            <a:ext uri="{FF2B5EF4-FFF2-40B4-BE49-F238E27FC236}">
              <a16:creationId xmlns:a16="http://schemas.microsoft.com/office/drawing/2014/main" id="{00000000-0008-0000-0300-00001E000000}"/>
            </a:ext>
          </a:extLst>
        </xdr:cNvPr>
        <xdr:cNvSpPr/>
      </xdr:nvSpPr>
      <xdr:spPr>
        <a:xfrm>
          <a:off x="11576275" y="579521"/>
          <a:ext cx="848676" cy="2082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effectLst/>
              <a:latin typeface="+mn-lt"/>
              <a:ea typeface="+mn-ea"/>
              <a:cs typeface="+mn-cs"/>
            </a:rPr>
            <a:t>37,851</a:t>
          </a:r>
          <a:endParaRPr lang="en-IN" sz="1200">
            <a:solidFill>
              <a:schemeClr val="tx1"/>
            </a:solidFill>
            <a:effectLst/>
          </a:endParaRPr>
        </a:p>
      </xdr:txBody>
    </xdr:sp>
    <xdr:clientData/>
  </xdr:twoCellAnchor>
  <xdr:twoCellAnchor>
    <xdr:from>
      <xdr:col>8</xdr:col>
      <xdr:colOff>592796</xdr:colOff>
      <xdr:row>6</xdr:row>
      <xdr:rowOff>175934</xdr:rowOff>
    </xdr:from>
    <xdr:to>
      <xdr:col>10</xdr:col>
      <xdr:colOff>221476</xdr:colOff>
      <xdr:row>8</xdr:row>
      <xdr:rowOff>13442</xdr:rowOff>
    </xdr:to>
    <xdr:sp macro="" textlink="">
      <xdr:nvSpPr>
        <xdr:cNvPr id="32" name="Rectangle 31">
          <a:extLst>
            <a:ext uri="{FF2B5EF4-FFF2-40B4-BE49-F238E27FC236}">
              <a16:creationId xmlns:a16="http://schemas.microsoft.com/office/drawing/2014/main" id="{00000000-0008-0000-0300-000020000000}"/>
            </a:ext>
          </a:extLst>
        </xdr:cNvPr>
        <xdr:cNvSpPr/>
      </xdr:nvSpPr>
      <xdr:spPr>
        <a:xfrm>
          <a:off x="5453120" y="1288042"/>
          <a:ext cx="843761" cy="2082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effectLst/>
            </a:rPr>
            <a:t>20,160</a:t>
          </a:r>
        </a:p>
      </xdr:txBody>
    </xdr:sp>
    <xdr:clientData/>
  </xdr:twoCellAnchor>
  <xdr:twoCellAnchor>
    <xdr:from>
      <xdr:col>13</xdr:col>
      <xdr:colOff>109755</xdr:colOff>
      <xdr:row>5</xdr:row>
      <xdr:rowOff>130449</xdr:rowOff>
    </xdr:from>
    <xdr:to>
      <xdr:col>15</xdr:col>
      <xdr:colOff>64035</xdr:colOff>
      <xdr:row>8</xdr:row>
      <xdr:rowOff>92349</xdr:rowOff>
    </xdr:to>
    <xdr:sp macro="" textlink="">
      <xdr:nvSpPr>
        <xdr:cNvPr id="24" name="Rectangle: Rounded Corners 13">
          <a:extLst>
            <a:ext uri="{FF2B5EF4-FFF2-40B4-BE49-F238E27FC236}">
              <a16:creationId xmlns:a16="http://schemas.microsoft.com/office/drawing/2014/main" id="{00000000-0008-0000-0300-000018000000}"/>
            </a:ext>
          </a:extLst>
        </xdr:cNvPr>
        <xdr:cNvSpPr/>
      </xdr:nvSpPr>
      <xdr:spPr>
        <a:xfrm>
          <a:off x="8007782" y="1057206"/>
          <a:ext cx="1169361" cy="5179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351549</xdr:colOff>
      <xdr:row>5</xdr:row>
      <xdr:rowOff>119243</xdr:rowOff>
    </xdr:from>
    <xdr:to>
      <xdr:col>16</xdr:col>
      <xdr:colOff>272349</xdr:colOff>
      <xdr:row>8</xdr:row>
      <xdr:rowOff>88763</xdr:rowOff>
    </xdr:to>
    <xdr:sp macro="" textlink="">
      <xdr:nvSpPr>
        <xdr:cNvPr id="25" name="Rectangle: Rounded Corners 14">
          <a:extLst>
            <a:ext uri="{FF2B5EF4-FFF2-40B4-BE49-F238E27FC236}">
              <a16:creationId xmlns:a16="http://schemas.microsoft.com/office/drawing/2014/main" id="{00000000-0008-0000-0300-000019000000}"/>
            </a:ext>
          </a:extLst>
        </xdr:cNvPr>
        <xdr:cNvSpPr/>
      </xdr:nvSpPr>
      <xdr:spPr>
        <a:xfrm>
          <a:off x="8249576" y="1046000"/>
          <a:ext cx="1743422" cy="5255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tx1"/>
              </a:solidFill>
              <a:latin typeface="+mn-lt"/>
              <a:ea typeface="+mn-ea"/>
              <a:cs typeface="+mn-cs"/>
            </a:rPr>
            <a:t>2D</a:t>
          </a:r>
          <a:r>
            <a:rPr lang="en-IN" b="1">
              <a:solidFill>
                <a:schemeClr val="tx1"/>
              </a:solidFill>
            </a:rPr>
            <a:t> Echo</a:t>
          </a:r>
          <a:r>
            <a:rPr lang="en-IN" sz="1100" b="1" baseline="0">
              <a:solidFill>
                <a:sysClr val="windowText" lastClr="000000"/>
              </a:solidFill>
            </a:rPr>
            <a:t> 2021-26</a:t>
          </a:r>
        </a:p>
        <a:p>
          <a:pPr algn="l"/>
          <a:endParaRPr lang="en-IN" sz="1100">
            <a:solidFill>
              <a:sysClr val="windowText" lastClr="000000"/>
            </a:solidFill>
          </a:endParaRPr>
        </a:p>
      </xdr:txBody>
    </xdr:sp>
    <xdr:clientData/>
  </xdr:twoCellAnchor>
  <xdr:twoCellAnchor>
    <xdr:from>
      <xdr:col>14</xdr:col>
      <xdr:colOff>7308</xdr:colOff>
      <xdr:row>6</xdr:row>
      <xdr:rowOff>176464</xdr:rowOff>
    </xdr:from>
    <xdr:to>
      <xdr:col>15</xdr:col>
      <xdr:colOff>245952</xdr:colOff>
      <xdr:row>8</xdr:row>
      <xdr:rowOff>8530</xdr:rowOff>
    </xdr:to>
    <xdr:sp macro="" textlink="">
      <xdr:nvSpPr>
        <xdr:cNvPr id="33" name="Rectangle 32">
          <a:extLst>
            <a:ext uri="{FF2B5EF4-FFF2-40B4-BE49-F238E27FC236}">
              <a16:creationId xmlns:a16="http://schemas.microsoft.com/office/drawing/2014/main" id="{00000000-0008-0000-0300-000021000000}"/>
            </a:ext>
          </a:extLst>
        </xdr:cNvPr>
        <xdr:cNvSpPr/>
      </xdr:nvSpPr>
      <xdr:spPr>
        <a:xfrm>
          <a:off x="8512876" y="1288572"/>
          <a:ext cx="846184" cy="20276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7,406</a:t>
          </a:r>
        </a:p>
      </xdr:txBody>
    </xdr:sp>
    <xdr:clientData/>
  </xdr:twoCellAnchor>
  <xdr:twoCellAnchor>
    <xdr:from>
      <xdr:col>18</xdr:col>
      <xdr:colOff>179879</xdr:colOff>
      <xdr:row>5</xdr:row>
      <xdr:rowOff>115349</xdr:rowOff>
    </xdr:from>
    <xdr:to>
      <xdr:col>20</xdr:col>
      <xdr:colOff>134159</xdr:colOff>
      <xdr:row>8</xdr:row>
      <xdr:rowOff>77249</xdr:rowOff>
    </xdr:to>
    <xdr:sp macro="" textlink="">
      <xdr:nvSpPr>
        <xdr:cNvPr id="38" name="Rectangle: Rounded Corners 13">
          <a:extLst>
            <a:ext uri="{FF2B5EF4-FFF2-40B4-BE49-F238E27FC236}">
              <a16:creationId xmlns:a16="http://schemas.microsoft.com/office/drawing/2014/main" id="{00000000-0008-0000-0300-000026000000}"/>
            </a:ext>
          </a:extLst>
        </xdr:cNvPr>
        <xdr:cNvSpPr/>
      </xdr:nvSpPr>
      <xdr:spPr>
        <a:xfrm>
          <a:off x="11115609" y="1042106"/>
          <a:ext cx="1169361" cy="5179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423511</xdr:colOff>
      <xdr:row>5</xdr:row>
      <xdr:rowOff>108626</xdr:rowOff>
    </xdr:from>
    <xdr:to>
      <xdr:col>21</xdr:col>
      <xdr:colOff>344312</xdr:colOff>
      <xdr:row>8</xdr:row>
      <xdr:rowOff>78146</xdr:rowOff>
    </xdr:to>
    <xdr:sp macro="" textlink="">
      <xdr:nvSpPr>
        <xdr:cNvPr id="43" name="Rectangle: Rounded Corners 14">
          <a:extLst>
            <a:ext uri="{FF2B5EF4-FFF2-40B4-BE49-F238E27FC236}">
              <a16:creationId xmlns:a16="http://schemas.microsoft.com/office/drawing/2014/main" id="{00000000-0008-0000-0300-00002B000000}"/>
            </a:ext>
          </a:extLst>
        </xdr:cNvPr>
        <xdr:cNvSpPr/>
      </xdr:nvSpPr>
      <xdr:spPr>
        <a:xfrm>
          <a:off x="11359241" y="1035383"/>
          <a:ext cx="1743422" cy="5255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baseline="0">
              <a:solidFill>
                <a:schemeClr val="tx1"/>
              </a:solidFill>
              <a:effectLst/>
              <a:latin typeface="+mn-lt"/>
              <a:ea typeface="+mn-ea"/>
              <a:cs typeface="+mn-cs"/>
            </a:rPr>
            <a:t>Doppler</a:t>
          </a:r>
          <a:r>
            <a:rPr lang="en-IN" sz="1100" b="1" baseline="0">
              <a:solidFill>
                <a:sysClr val="windowText" lastClr="000000"/>
              </a:solidFill>
            </a:rPr>
            <a:t> </a:t>
          </a:r>
          <a:r>
            <a:rPr lang="en-IN" sz="1200" b="1" baseline="0">
              <a:solidFill>
                <a:sysClr val="windowText" lastClr="000000"/>
              </a:solidFill>
            </a:rPr>
            <a:t>2021-26</a:t>
          </a:r>
          <a:endParaRPr lang="en-IN" sz="1100" b="1" baseline="0">
            <a:solidFill>
              <a:sysClr val="windowText" lastClr="000000"/>
            </a:solidFill>
          </a:endParaRPr>
        </a:p>
        <a:p>
          <a:pPr algn="l"/>
          <a:endParaRPr lang="en-IN" sz="1100" b="1">
            <a:solidFill>
              <a:sysClr val="windowText" lastClr="000000"/>
            </a:solidFill>
          </a:endParaRPr>
        </a:p>
      </xdr:txBody>
    </xdr:sp>
    <xdr:clientData/>
  </xdr:twoCellAnchor>
  <xdr:twoCellAnchor>
    <xdr:from>
      <xdr:col>19</xdr:col>
      <xdr:colOff>36769</xdr:colOff>
      <xdr:row>6</xdr:row>
      <xdr:rowOff>154986</xdr:rowOff>
    </xdr:from>
    <xdr:to>
      <xdr:col>20</xdr:col>
      <xdr:colOff>270930</xdr:colOff>
      <xdr:row>7</xdr:row>
      <xdr:rowOff>172698</xdr:rowOff>
    </xdr:to>
    <xdr:sp macro="" textlink="">
      <xdr:nvSpPr>
        <xdr:cNvPr id="44" name="Rectangle 43">
          <a:extLst>
            <a:ext uri="{FF2B5EF4-FFF2-40B4-BE49-F238E27FC236}">
              <a16:creationId xmlns:a16="http://schemas.microsoft.com/office/drawing/2014/main" id="{00000000-0008-0000-0300-00002C000000}"/>
            </a:ext>
          </a:extLst>
        </xdr:cNvPr>
        <xdr:cNvSpPr/>
      </xdr:nvSpPr>
      <xdr:spPr>
        <a:xfrm>
          <a:off x="11580039" y="1267094"/>
          <a:ext cx="841702" cy="20306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tx1"/>
              </a:solidFill>
              <a:effectLst/>
              <a:latin typeface="+mn-lt"/>
              <a:ea typeface="+mn-ea"/>
              <a:cs typeface="+mn-cs"/>
            </a:rPr>
            <a:t>2,983</a:t>
          </a:r>
          <a:endParaRPr lang="en-IN" sz="1400" b="1">
            <a:solidFill>
              <a:schemeClr val="tx1"/>
            </a:solidFill>
            <a:effectLst/>
          </a:endParaRPr>
        </a:p>
        <a:p>
          <a:pPr algn="ctr"/>
          <a:endParaRPr lang="en-IN" sz="1200" b="1">
            <a:solidFill>
              <a:sysClr val="windowText" lastClr="000000"/>
            </a:solidFill>
          </a:endParaRPr>
        </a:p>
      </xdr:txBody>
    </xdr:sp>
    <xdr:clientData/>
  </xdr:twoCellAnchor>
  <xdr:twoCellAnchor>
    <xdr:from>
      <xdr:col>23</xdr:col>
      <xdr:colOff>227264</xdr:colOff>
      <xdr:row>5</xdr:row>
      <xdr:rowOff>110279</xdr:rowOff>
    </xdr:from>
    <xdr:to>
      <xdr:col>25</xdr:col>
      <xdr:colOff>181543</xdr:colOff>
      <xdr:row>8</xdr:row>
      <xdr:rowOff>72179</xdr:rowOff>
    </xdr:to>
    <xdr:sp macro="" textlink="">
      <xdr:nvSpPr>
        <xdr:cNvPr id="45" name="Rectangle: Rounded Corners 13">
          <a:extLst>
            <a:ext uri="{FF2B5EF4-FFF2-40B4-BE49-F238E27FC236}">
              <a16:creationId xmlns:a16="http://schemas.microsoft.com/office/drawing/2014/main" id="{00000000-0008-0000-0300-00002D000000}"/>
            </a:ext>
          </a:extLst>
        </xdr:cNvPr>
        <xdr:cNvSpPr/>
      </xdr:nvSpPr>
      <xdr:spPr>
        <a:xfrm>
          <a:off x="14200696" y="1037036"/>
          <a:ext cx="1169361" cy="5179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484418</xdr:colOff>
      <xdr:row>5</xdr:row>
      <xdr:rowOff>107719</xdr:rowOff>
    </xdr:from>
    <xdr:to>
      <xdr:col>26</xdr:col>
      <xdr:colOff>405217</xdr:colOff>
      <xdr:row>8</xdr:row>
      <xdr:rowOff>77239</xdr:rowOff>
    </xdr:to>
    <xdr:sp macro="" textlink="">
      <xdr:nvSpPr>
        <xdr:cNvPr id="48" name="Rectangle: Rounded Corners 14">
          <a:extLst>
            <a:ext uri="{FF2B5EF4-FFF2-40B4-BE49-F238E27FC236}">
              <a16:creationId xmlns:a16="http://schemas.microsoft.com/office/drawing/2014/main" id="{00000000-0008-0000-0300-000030000000}"/>
            </a:ext>
          </a:extLst>
        </xdr:cNvPr>
        <xdr:cNvSpPr/>
      </xdr:nvSpPr>
      <xdr:spPr>
        <a:xfrm>
          <a:off x="14457850" y="1034476"/>
          <a:ext cx="1743421" cy="5255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0" u="none" strike="noStrike" baseline="0">
              <a:solidFill>
                <a:schemeClr val="tx1"/>
              </a:solidFill>
              <a:latin typeface="+mn-lt"/>
              <a:ea typeface="+mn-ea"/>
              <a:cs typeface="+mn-cs"/>
            </a:rPr>
            <a:t>Mamography</a:t>
          </a:r>
          <a:r>
            <a:rPr lang="en-IN" sz="1100" b="1" baseline="0">
              <a:solidFill>
                <a:sysClr val="windowText" lastClr="000000"/>
              </a:solidFill>
            </a:rPr>
            <a:t> </a:t>
          </a:r>
          <a:r>
            <a:rPr lang="en-IN" sz="1200" b="1" baseline="0">
              <a:solidFill>
                <a:sysClr val="windowText" lastClr="000000"/>
              </a:solidFill>
            </a:rPr>
            <a:t>2021-26</a:t>
          </a:r>
        </a:p>
        <a:p>
          <a:pPr algn="l"/>
          <a:endParaRPr lang="en-IN" sz="1100">
            <a:solidFill>
              <a:sysClr val="windowText" lastClr="000000"/>
            </a:solidFill>
          </a:endParaRPr>
        </a:p>
      </xdr:txBody>
    </xdr:sp>
    <xdr:clientData/>
  </xdr:twoCellAnchor>
  <xdr:twoCellAnchor>
    <xdr:from>
      <xdr:col>24</xdr:col>
      <xdr:colOff>227130</xdr:colOff>
      <xdr:row>6</xdr:row>
      <xdr:rowOff>164644</xdr:rowOff>
    </xdr:from>
    <xdr:to>
      <xdr:col>25</xdr:col>
      <xdr:colOff>463350</xdr:colOff>
      <xdr:row>7</xdr:row>
      <xdr:rowOff>180179</xdr:rowOff>
    </xdr:to>
    <xdr:sp macro="" textlink="">
      <xdr:nvSpPr>
        <xdr:cNvPr id="49" name="Rectangle 48">
          <a:extLst>
            <a:ext uri="{FF2B5EF4-FFF2-40B4-BE49-F238E27FC236}">
              <a16:creationId xmlns:a16="http://schemas.microsoft.com/office/drawing/2014/main" id="{00000000-0008-0000-0300-000031000000}"/>
            </a:ext>
          </a:extLst>
        </xdr:cNvPr>
        <xdr:cNvSpPr/>
      </xdr:nvSpPr>
      <xdr:spPr>
        <a:xfrm>
          <a:off x="14808103" y="1276752"/>
          <a:ext cx="843761" cy="20088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1,538</a:t>
          </a:r>
        </a:p>
      </xdr:txBody>
    </xdr:sp>
    <xdr:clientData/>
  </xdr:twoCellAnchor>
  <xdr:twoCellAnchor>
    <xdr:from>
      <xdr:col>38</xdr:col>
      <xdr:colOff>77812</xdr:colOff>
      <xdr:row>39</xdr:row>
      <xdr:rowOff>4043</xdr:rowOff>
    </xdr:from>
    <xdr:to>
      <xdr:col>40</xdr:col>
      <xdr:colOff>32092</xdr:colOff>
      <xdr:row>41</xdr:row>
      <xdr:rowOff>151000</xdr:rowOff>
    </xdr:to>
    <xdr:sp macro="" textlink="">
      <xdr:nvSpPr>
        <xdr:cNvPr id="50" name="Rectangle: Rounded Corners 13">
          <a:extLst>
            <a:ext uri="{FF2B5EF4-FFF2-40B4-BE49-F238E27FC236}">
              <a16:creationId xmlns:a16="http://schemas.microsoft.com/office/drawing/2014/main" id="{00000000-0008-0000-0300-000032000000}"/>
            </a:ext>
          </a:extLst>
        </xdr:cNvPr>
        <xdr:cNvSpPr/>
      </xdr:nvSpPr>
      <xdr:spPr>
        <a:xfrm>
          <a:off x="23242612" y="7221272"/>
          <a:ext cx="1173480" cy="5170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38</xdr:col>
      <xdr:colOff>326138</xdr:colOff>
      <xdr:row>38</xdr:row>
      <xdr:rowOff>184620</xdr:rowOff>
    </xdr:from>
    <xdr:to>
      <xdr:col>41</xdr:col>
      <xdr:colOff>246939</xdr:colOff>
      <xdr:row>41</xdr:row>
      <xdr:rowOff>154139</xdr:rowOff>
    </xdr:to>
    <xdr:sp macro="" textlink="">
      <xdr:nvSpPr>
        <xdr:cNvPr id="51" name="Rectangle: Rounded Corners 14">
          <a:extLst>
            <a:ext uri="{FF2B5EF4-FFF2-40B4-BE49-F238E27FC236}">
              <a16:creationId xmlns:a16="http://schemas.microsoft.com/office/drawing/2014/main" id="{00000000-0008-0000-0300-000033000000}"/>
            </a:ext>
          </a:extLst>
        </xdr:cNvPr>
        <xdr:cNvSpPr/>
      </xdr:nvSpPr>
      <xdr:spPr>
        <a:xfrm>
          <a:off x="23490938" y="7216791"/>
          <a:ext cx="1749601" cy="52469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0" u="none" strike="noStrike" baseline="0">
              <a:solidFill>
                <a:schemeClr val="tx1"/>
              </a:solidFill>
              <a:latin typeface="+mn-lt"/>
              <a:ea typeface="+mn-ea"/>
              <a:cs typeface="+mn-cs"/>
            </a:rPr>
            <a:t>TMT </a:t>
          </a:r>
          <a:r>
            <a:rPr lang="en-IN" sz="1200" b="1" baseline="0">
              <a:solidFill>
                <a:sysClr val="windowText" lastClr="000000"/>
              </a:solidFill>
            </a:rPr>
            <a:t>2021-26</a:t>
          </a:r>
        </a:p>
        <a:p>
          <a:pPr algn="l"/>
          <a:endParaRPr lang="en-IN" sz="1200">
            <a:solidFill>
              <a:sysClr val="windowText" lastClr="000000"/>
            </a:solidFill>
          </a:endParaRPr>
        </a:p>
      </xdr:txBody>
    </xdr:sp>
    <xdr:clientData/>
  </xdr:twoCellAnchor>
  <xdr:twoCellAnchor>
    <xdr:from>
      <xdr:col>39</xdr:col>
      <xdr:colOff>33814</xdr:colOff>
      <xdr:row>40</xdr:row>
      <xdr:rowOff>58729</xdr:rowOff>
    </xdr:from>
    <xdr:to>
      <xdr:col>40</xdr:col>
      <xdr:colOff>272094</xdr:colOff>
      <xdr:row>41</xdr:row>
      <xdr:rowOff>73968</xdr:rowOff>
    </xdr:to>
    <xdr:sp macro="" textlink="">
      <xdr:nvSpPr>
        <xdr:cNvPr id="54" name="Rectangle 53">
          <a:extLst>
            <a:ext uri="{FF2B5EF4-FFF2-40B4-BE49-F238E27FC236}">
              <a16:creationId xmlns:a16="http://schemas.microsoft.com/office/drawing/2014/main" id="{00000000-0008-0000-0300-000036000000}"/>
            </a:ext>
          </a:extLst>
        </xdr:cNvPr>
        <xdr:cNvSpPr/>
      </xdr:nvSpPr>
      <xdr:spPr>
        <a:xfrm>
          <a:off x="23808214" y="7461015"/>
          <a:ext cx="847880" cy="2002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908</a:t>
          </a:r>
        </a:p>
      </xdr:txBody>
    </xdr:sp>
    <xdr:clientData/>
  </xdr:twoCellAnchor>
  <xdr:twoCellAnchor>
    <xdr:from>
      <xdr:col>18</xdr:col>
      <xdr:colOff>166836</xdr:colOff>
      <xdr:row>67</xdr:row>
      <xdr:rowOff>34637</xdr:rowOff>
    </xdr:from>
    <xdr:to>
      <xdr:col>30</xdr:col>
      <xdr:colOff>588178</xdr:colOff>
      <xdr:row>80</xdr:row>
      <xdr:rowOff>67294</xdr:rowOff>
    </xdr:to>
    <xdr:graphicFrame macro="">
      <xdr:nvGraphicFramePr>
        <xdr:cNvPr id="22" name="Chart 21">
          <a:extLst>
            <a:ext uri="{FF2B5EF4-FFF2-40B4-BE49-F238E27FC236}">
              <a16:creationId xmlns:a16="http://schemas.microsoft.com/office/drawing/2014/main" id="{2C3F0CEE-8524-407A-9F2F-70BE857F2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356456</xdr:colOff>
      <xdr:row>64</xdr:row>
      <xdr:rowOff>21773</xdr:rowOff>
    </xdr:from>
    <xdr:to>
      <xdr:col>15</xdr:col>
      <xdr:colOff>566456</xdr:colOff>
      <xdr:row>77</xdr:row>
      <xdr:rowOff>42431</xdr:rowOff>
    </xdr:to>
    <xdr:graphicFrame macro="">
      <xdr:nvGraphicFramePr>
        <xdr:cNvPr id="6" name="Chart 5">
          <a:extLst>
            <a:ext uri="{FF2B5EF4-FFF2-40B4-BE49-F238E27FC236}">
              <a16:creationId xmlns:a16="http://schemas.microsoft.com/office/drawing/2014/main" id="{FBA7760E-E04F-4710-9EF2-0E6CC0743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496739</xdr:colOff>
      <xdr:row>10</xdr:row>
      <xdr:rowOff>51486</xdr:rowOff>
    </xdr:from>
    <xdr:to>
      <xdr:col>16</xdr:col>
      <xdr:colOff>185350</xdr:colOff>
      <xdr:row>27</xdr:row>
      <xdr:rowOff>30892</xdr:rowOff>
    </xdr:to>
    <xdr:graphicFrame macro="">
      <xdr:nvGraphicFramePr>
        <xdr:cNvPr id="9" name="Chart 8">
          <a:extLst>
            <a:ext uri="{FF2B5EF4-FFF2-40B4-BE49-F238E27FC236}">
              <a16:creationId xmlns:a16="http://schemas.microsoft.com/office/drawing/2014/main" id="{F2881983-F32F-4A56-B9BB-1C850FE0C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494269</xdr:colOff>
      <xdr:row>28</xdr:row>
      <xdr:rowOff>1</xdr:rowOff>
    </xdr:from>
    <xdr:to>
      <xdr:col>27</xdr:col>
      <xdr:colOff>51486</xdr:colOff>
      <xdr:row>42</xdr:row>
      <xdr:rowOff>102974</xdr:rowOff>
    </xdr:to>
    <xdr:graphicFrame macro="">
      <xdr:nvGraphicFramePr>
        <xdr:cNvPr id="10" name="Chart 9">
          <a:extLst>
            <a:ext uri="{FF2B5EF4-FFF2-40B4-BE49-F238E27FC236}">
              <a16:creationId xmlns:a16="http://schemas.microsoft.com/office/drawing/2014/main" id="{2B6852E9-C5E1-4469-9480-588B41CD4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342281</xdr:colOff>
      <xdr:row>10</xdr:row>
      <xdr:rowOff>61784</xdr:rowOff>
    </xdr:from>
    <xdr:to>
      <xdr:col>27</xdr:col>
      <xdr:colOff>30891</xdr:colOff>
      <xdr:row>27</xdr:row>
      <xdr:rowOff>30891</xdr:rowOff>
    </xdr:to>
    <xdr:graphicFrame macro="">
      <xdr:nvGraphicFramePr>
        <xdr:cNvPr id="11" name="Chart 10">
          <a:extLst>
            <a:ext uri="{FF2B5EF4-FFF2-40B4-BE49-F238E27FC236}">
              <a16:creationId xmlns:a16="http://schemas.microsoft.com/office/drawing/2014/main" id="{28CDA6CB-E8F2-42B9-B971-4EFDEEB3C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72082</xdr:colOff>
      <xdr:row>4</xdr:row>
      <xdr:rowOff>164757</xdr:rowOff>
    </xdr:from>
    <xdr:to>
      <xdr:col>5</xdr:col>
      <xdr:colOff>187651</xdr:colOff>
      <xdr:row>13</xdr:row>
      <xdr:rowOff>163394</xdr:rowOff>
    </xdr:to>
    <mc:AlternateContent xmlns:mc="http://schemas.openxmlformats.org/markup-compatibility/2006" xmlns:a14="http://schemas.microsoft.com/office/drawing/2010/main">
      <mc:Choice Requires="a14">
        <xdr:graphicFrame macro="">
          <xdr:nvGraphicFramePr>
            <xdr:cNvPr id="12" name="Year  16">
              <a:extLst>
                <a:ext uri="{FF2B5EF4-FFF2-40B4-BE49-F238E27FC236}">
                  <a16:creationId xmlns:a16="http://schemas.microsoft.com/office/drawing/2014/main" id="{F56813EB-B5A9-496C-9AA5-5043064F7F1C}"/>
                </a:ext>
              </a:extLst>
            </xdr:cNvPr>
            <xdr:cNvGraphicFramePr/>
          </xdr:nvGraphicFramePr>
          <xdr:xfrm>
            <a:off x="0" y="0"/>
            <a:ext cx="0" cy="0"/>
          </xdr:xfrm>
          <a:graphic>
            <a:graphicData uri="http://schemas.microsoft.com/office/drawing/2010/slicer">
              <sle:slicer xmlns:sle="http://schemas.microsoft.com/office/drawing/2010/slicer" name="Year  16"/>
            </a:graphicData>
          </a:graphic>
        </xdr:graphicFrame>
      </mc:Choice>
      <mc:Fallback xmlns="">
        <xdr:sp macro="" textlink="">
          <xdr:nvSpPr>
            <xdr:cNvPr id="0" name=""/>
            <xdr:cNvSpPr>
              <a:spLocks noTextEdit="1"/>
            </xdr:cNvSpPr>
          </xdr:nvSpPr>
          <xdr:spPr>
            <a:xfrm>
              <a:off x="1894704" y="906162"/>
              <a:ext cx="1330650" cy="16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72081</xdr:colOff>
      <xdr:row>14</xdr:row>
      <xdr:rowOff>72081</xdr:rowOff>
    </xdr:from>
    <xdr:to>
      <xdr:col>5</xdr:col>
      <xdr:colOff>189000</xdr:colOff>
      <xdr:row>42</xdr:row>
      <xdr:rowOff>73443</xdr:rowOff>
    </xdr:to>
    <mc:AlternateContent xmlns:mc="http://schemas.openxmlformats.org/markup-compatibility/2006" xmlns:a14="http://schemas.microsoft.com/office/drawing/2010/main">
      <mc:Choice Requires="a14">
        <xdr:graphicFrame macro="">
          <xdr:nvGraphicFramePr>
            <xdr:cNvPr id="13" name="Month 16">
              <a:extLst>
                <a:ext uri="{FF2B5EF4-FFF2-40B4-BE49-F238E27FC236}">
                  <a16:creationId xmlns:a16="http://schemas.microsoft.com/office/drawing/2014/main" id="{F151631A-04FF-4C5F-B6D1-C3091F7A7615}"/>
                </a:ext>
              </a:extLst>
            </xdr:cNvPr>
            <xdr:cNvGraphicFramePr/>
          </xdr:nvGraphicFramePr>
          <xdr:xfrm>
            <a:off x="0" y="0"/>
            <a:ext cx="0" cy="0"/>
          </xdr:xfrm>
          <a:graphic>
            <a:graphicData uri="http://schemas.microsoft.com/office/drawing/2010/slicer">
              <sle:slicer xmlns:sle="http://schemas.microsoft.com/office/drawing/2010/slicer" name="Month 16"/>
            </a:graphicData>
          </a:graphic>
        </xdr:graphicFrame>
      </mc:Choice>
      <mc:Fallback xmlns="">
        <xdr:sp macro="" textlink="">
          <xdr:nvSpPr>
            <xdr:cNvPr id="0" name=""/>
            <xdr:cNvSpPr>
              <a:spLocks noTextEdit="1"/>
            </xdr:cNvSpPr>
          </xdr:nvSpPr>
          <xdr:spPr>
            <a:xfrm>
              <a:off x="1894703" y="2667000"/>
              <a:ext cx="1332000" cy="519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298622</xdr:colOff>
      <xdr:row>1</xdr:row>
      <xdr:rowOff>20593</xdr:rowOff>
    </xdr:from>
    <xdr:to>
      <xdr:col>2</xdr:col>
      <xdr:colOff>397541</xdr:colOff>
      <xdr:row>43</xdr:row>
      <xdr:rowOff>82378</xdr:rowOff>
    </xdr:to>
    <mc:AlternateContent xmlns:mc="http://schemas.openxmlformats.org/markup-compatibility/2006" xmlns:a14="http://schemas.microsoft.com/office/drawing/2010/main">
      <mc:Choice Requires="a14">
        <xdr:graphicFrame macro="">
          <xdr:nvGraphicFramePr>
            <xdr:cNvPr id="34" name="Service  2">
              <a:extLst>
                <a:ext uri="{FF2B5EF4-FFF2-40B4-BE49-F238E27FC236}">
                  <a16:creationId xmlns:a16="http://schemas.microsoft.com/office/drawing/2014/main" id="{700A185A-4E95-4E7D-A219-3D4CAE90A936}"/>
                </a:ext>
              </a:extLst>
            </xdr:cNvPr>
            <xdr:cNvGraphicFramePr/>
          </xdr:nvGraphicFramePr>
          <xdr:xfrm>
            <a:off x="0" y="0"/>
            <a:ext cx="0" cy="0"/>
          </xdr:xfrm>
          <a:graphic>
            <a:graphicData uri="http://schemas.microsoft.com/office/drawing/2010/slicer">
              <sle:slicer xmlns:sle="http://schemas.microsoft.com/office/drawing/2010/slicer" name="Service  2"/>
            </a:graphicData>
          </a:graphic>
        </xdr:graphicFrame>
      </mc:Choice>
      <mc:Fallback xmlns="">
        <xdr:sp macro="" textlink="">
          <xdr:nvSpPr>
            <xdr:cNvPr id="0" name=""/>
            <xdr:cNvSpPr>
              <a:spLocks noTextEdit="1"/>
            </xdr:cNvSpPr>
          </xdr:nvSpPr>
          <xdr:spPr>
            <a:xfrm>
              <a:off x="298622" y="205944"/>
              <a:ext cx="1314000" cy="7846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214276</xdr:colOff>
      <xdr:row>1</xdr:row>
      <xdr:rowOff>163286</xdr:rowOff>
    </xdr:from>
    <xdr:to>
      <xdr:col>25</xdr:col>
      <xdr:colOff>168555</xdr:colOff>
      <xdr:row>4</xdr:row>
      <xdr:rowOff>125186</xdr:rowOff>
    </xdr:to>
    <xdr:sp macro="" textlink="">
      <xdr:nvSpPr>
        <xdr:cNvPr id="21" name="Rectangle: Rounded Corners 20">
          <a:extLst>
            <a:ext uri="{FF2B5EF4-FFF2-40B4-BE49-F238E27FC236}">
              <a16:creationId xmlns:a16="http://schemas.microsoft.com/office/drawing/2014/main" id="{0A8422F0-CEE9-45EB-0EBF-9904D0FBF0A9}"/>
            </a:ext>
          </a:extLst>
        </xdr:cNvPr>
        <xdr:cNvSpPr/>
      </xdr:nvSpPr>
      <xdr:spPr>
        <a:xfrm>
          <a:off x="14187708" y="348637"/>
          <a:ext cx="1169361" cy="5179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473353</xdr:colOff>
      <xdr:row>1</xdr:row>
      <xdr:rowOff>158635</xdr:rowOff>
    </xdr:from>
    <xdr:to>
      <xdr:col>26</xdr:col>
      <xdr:colOff>394152</xdr:colOff>
      <xdr:row>4</xdr:row>
      <xdr:rowOff>128155</xdr:rowOff>
    </xdr:to>
    <xdr:sp macro="" textlink="">
      <xdr:nvSpPr>
        <xdr:cNvPr id="23" name="Rectangle: Rounded Corners 22">
          <a:extLst>
            <a:ext uri="{FF2B5EF4-FFF2-40B4-BE49-F238E27FC236}">
              <a16:creationId xmlns:a16="http://schemas.microsoft.com/office/drawing/2014/main" id="{1055274A-51C6-437F-E005-8A6489C50A00}"/>
            </a:ext>
          </a:extLst>
        </xdr:cNvPr>
        <xdr:cNvSpPr/>
      </xdr:nvSpPr>
      <xdr:spPr>
        <a:xfrm>
          <a:off x="14446785" y="343986"/>
          <a:ext cx="1743421" cy="5255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Dental </a:t>
          </a:r>
          <a:r>
            <a:rPr lang="en-IN" sz="1200" b="1" baseline="0">
              <a:solidFill>
                <a:sysClr val="windowText" lastClr="000000"/>
              </a:solidFill>
            </a:rPr>
            <a:t>2021-26</a:t>
          </a:r>
          <a:endParaRPr lang="en-IN" sz="1100" b="1" baseline="0">
            <a:solidFill>
              <a:sysClr val="windowText" lastClr="000000"/>
            </a:solidFill>
          </a:endParaRPr>
        </a:p>
      </xdr:txBody>
    </xdr:sp>
    <xdr:clientData/>
  </xdr:twoCellAnchor>
  <xdr:twoCellAnchor>
    <xdr:from>
      <xdr:col>24</xdr:col>
      <xdr:colOff>171816</xdr:colOff>
      <xdr:row>3</xdr:row>
      <xdr:rowOff>42069</xdr:rowOff>
    </xdr:from>
    <xdr:to>
      <xdr:col>25</xdr:col>
      <xdr:colOff>408036</xdr:colOff>
      <xdr:row>4</xdr:row>
      <xdr:rowOff>64929</xdr:rowOff>
    </xdr:to>
    <xdr:sp macro="" textlink="">
      <xdr:nvSpPr>
        <xdr:cNvPr id="35" name="Rectangle 34">
          <a:extLst>
            <a:ext uri="{FF2B5EF4-FFF2-40B4-BE49-F238E27FC236}">
              <a16:creationId xmlns:a16="http://schemas.microsoft.com/office/drawing/2014/main" id="{2B9B469C-8ADA-A63A-C5AC-DFFB0D973D68}"/>
            </a:ext>
          </a:extLst>
        </xdr:cNvPr>
        <xdr:cNvSpPr/>
      </xdr:nvSpPr>
      <xdr:spPr>
        <a:xfrm>
          <a:off x="14752789" y="598123"/>
          <a:ext cx="843761" cy="2082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effectLst/>
            </a:rPr>
            <a:t>25,327</a:t>
          </a:r>
        </a:p>
      </xdr:txBody>
    </xdr:sp>
    <xdr:clientData/>
  </xdr:twoCellAnchor>
  <xdr:twoCellAnchor>
    <xdr:from>
      <xdr:col>8</xdr:col>
      <xdr:colOff>71634</xdr:colOff>
      <xdr:row>1</xdr:row>
      <xdr:rowOff>150560</xdr:rowOff>
    </xdr:from>
    <xdr:to>
      <xdr:col>10</xdr:col>
      <xdr:colOff>25914</xdr:colOff>
      <xdr:row>4</xdr:row>
      <xdr:rowOff>112460</xdr:rowOff>
    </xdr:to>
    <xdr:sp macro="" textlink="">
      <xdr:nvSpPr>
        <xdr:cNvPr id="36" name="Rectangle: Rounded Corners 13">
          <a:extLst>
            <a:ext uri="{FF2B5EF4-FFF2-40B4-BE49-F238E27FC236}">
              <a16:creationId xmlns:a16="http://schemas.microsoft.com/office/drawing/2014/main" id="{D860ABF9-002A-0CCC-6199-F85620A954CF}"/>
            </a:ext>
          </a:extLst>
        </xdr:cNvPr>
        <xdr:cNvSpPr/>
      </xdr:nvSpPr>
      <xdr:spPr>
        <a:xfrm>
          <a:off x="4931958" y="335911"/>
          <a:ext cx="1169361" cy="5179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317901</xdr:colOff>
      <xdr:row>1</xdr:row>
      <xdr:rowOff>146079</xdr:rowOff>
    </xdr:from>
    <xdr:to>
      <xdr:col>11</xdr:col>
      <xdr:colOff>238701</xdr:colOff>
      <xdr:row>4</xdr:row>
      <xdr:rowOff>115599</xdr:rowOff>
    </xdr:to>
    <xdr:sp macro="" textlink="">
      <xdr:nvSpPr>
        <xdr:cNvPr id="37" name="Rectangle: Rounded Corners 14">
          <a:extLst>
            <a:ext uri="{FF2B5EF4-FFF2-40B4-BE49-F238E27FC236}">
              <a16:creationId xmlns:a16="http://schemas.microsoft.com/office/drawing/2014/main" id="{4DD8B463-3014-68C2-C7CE-6A98D8FDA4A3}"/>
            </a:ext>
          </a:extLst>
        </xdr:cNvPr>
        <xdr:cNvSpPr/>
      </xdr:nvSpPr>
      <xdr:spPr>
        <a:xfrm>
          <a:off x="5178225" y="331430"/>
          <a:ext cx="1743422" cy="5255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0" u="none" strike="noStrike" baseline="0">
              <a:solidFill>
                <a:schemeClr val="tx1"/>
              </a:solidFill>
              <a:latin typeface="+mn-lt"/>
              <a:ea typeface="+mn-ea"/>
              <a:cs typeface="+mn-cs"/>
            </a:rPr>
            <a:t>Pathology </a:t>
          </a:r>
          <a:r>
            <a:rPr lang="en-IN" sz="1200" b="1" baseline="0">
              <a:solidFill>
                <a:sysClr val="windowText" lastClr="000000"/>
              </a:solidFill>
            </a:rPr>
            <a:t>2021-26</a:t>
          </a:r>
        </a:p>
        <a:p>
          <a:pPr algn="l"/>
          <a:endParaRPr lang="en-IN" sz="1200">
            <a:solidFill>
              <a:sysClr val="windowText" lastClr="000000"/>
            </a:solidFill>
          </a:endParaRPr>
        </a:p>
      </xdr:txBody>
    </xdr:sp>
    <xdr:clientData/>
  </xdr:twoCellAnchor>
  <xdr:twoCellAnchor>
    <xdr:from>
      <xdr:col>9</xdr:col>
      <xdr:colOff>27636</xdr:colOff>
      <xdr:row>3</xdr:row>
      <xdr:rowOff>19894</xdr:rowOff>
    </xdr:from>
    <xdr:to>
      <xdr:col>10</xdr:col>
      <xdr:colOff>263857</xdr:colOff>
      <xdr:row>4</xdr:row>
      <xdr:rowOff>35134</xdr:rowOff>
    </xdr:to>
    <xdr:sp macro="" textlink="">
      <xdr:nvSpPr>
        <xdr:cNvPr id="39" name="Rectangle 38">
          <a:extLst>
            <a:ext uri="{FF2B5EF4-FFF2-40B4-BE49-F238E27FC236}">
              <a16:creationId xmlns:a16="http://schemas.microsoft.com/office/drawing/2014/main" id="{09FDE5A2-0AF6-BDB0-5B22-D76965298FF8}"/>
            </a:ext>
          </a:extLst>
        </xdr:cNvPr>
        <xdr:cNvSpPr/>
      </xdr:nvSpPr>
      <xdr:spPr>
        <a:xfrm>
          <a:off x="5495501" y="575948"/>
          <a:ext cx="843761" cy="20059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1,73,684</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76200</xdr:rowOff>
    </xdr:from>
    <xdr:to>
      <xdr:col>6</xdr:col>
      <xdr:colOff>351960</xdr:colOff>
      <xdr:row>21</xdr:row>
      <xdr:rowOff>22860</xdr:rowOff>
    </xdr:to>
    <xdr:graphicFrame macro="">
      <xdr:nvGraphicFramePr>
        <xdr:cNvPr id="4" name="Chart 3">
          <a:extLst>
            <a:ext uri="{FF2B5EF4-FFF2-40B4-BE49-F238E27FC236}">
              <a16:creationId xmlns:a16="http://schemas.microsoft.com/office/drawing/2014/main" id="{D52794D8-87B0-CE8A-A50A-01F6706F3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213360</xdr:colOff>
      <xdr:row>8</xdr:row>
      <xdr:rowOff>76200</xdr:rowOff>
    </xdr:from>
    <xdr:to>
      <xdr:col>18</xdr:col>
      <xdr:colOff>327660</xdr:colOff>
      <xdr:row>20</xdr:row>
      <xdr:rowOff>45720</xdr:rowOff>
    </xdr:to>
    <xdr:graphicFrame macro="">
      <xdr:nvGraphicFramePr>
        <xdr:cNvPr id="5" name="Chart 4">
          <a:extLst>
            <a:ext uri="{FF2B5EF4-FFF2-40B4-BE49-F238E27FC236}">
              <a16:creationId xmlns:a16="http://schemas.microsoft.com/office/drawing/2014/main" id="{922BF8CF-EBFD-449A-CC33-26597F5CB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8</xdr:row>
      <xdr:rowOff>45720</xdr:rowOff>
    </xdr:from>
    <xdr:to>
      <xdr:col>10</xdr:col>
      <xdr:colOff>112800</xdr:colOff>
      <xdr:row>16</xdr:row>
      <xdr:rowOff>29880</xdr:rowOff>
    </xdr:to>
    <mc:AlternateContent xmlns:mc="http://schemas.openxmlformats.org/markup-compatibility/2006" xmlns:a14="http://schemas.microsoft.com/office/drawing/2010/main">
      <mc:Choice Requires="a14">
        <xdr:graphicFrame macro="">
          <xdr:nvGraphicFramePr>
            <xdr:cNvPr id="6" name="Year  6">
              <a:extLst>
                <a:ext uri="{FF2B5EF4-FFF2-40B4-BE49-F238E27FC236}">
                  <a16:creationId xmlns:a16="http://schemas.microsoft.com/office/drawing/2014/main" id="{759147A0-F572-42AA-E803-A20BFB3C26AD}"/>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6149340" y="1508760"/>
              <a:ext cx="1332000" cy="144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99060</xdr:colOff>
      <xdr:row>3</xdr:row>
      <xdr:rowOff>30479</xdr:rowOff>
    </xdr:from>
    <xdr:to>
      <xdr:col>14</xdr:col>
      <xdr:colOff>211860</xdr:colOff>
      <xdr:row>21</xdr:row>
      <xdr:rowOff>137039</xdr:rowOff>
    </xdr:to>
    <mc:AlternateContent xmlns:mc="http://schemas.openxmlformats.org/markup-compatibility/2006" xmlns:a14="http://schemas.microsoft.com/office/drawing/2010/main">
      <mc:Choice Requires="a14">
        <xdr:graphicFrame macro="">
          <xdr:nvGraphicFramePr>
            <xdr:cNvPr id="7" name="Month 6">
              <a:extLst>
                <a:ext uri="{FF2B5EF4-FFF2-40B4-BE49-F238E27FC236}">
                  <a16:creationId xmlns:a16="http://schemas.microsoft.com/office/drawing/2014/main" id="{8797C686-79F4-8490-AE2A-9F5DB9B95994}"/>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8686800" y="579119"/>
              <a:ext cx="1332000" cy="339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xdr:colOff>
      <xdr:row>29</xdr:row>
      <xdr:rowOff>45720</xdr:rowOff>
    </xdr:from>
    <xdr:to>
      <xdr:col>11</xdr:col>
      <xdr:colOff>289740</xdr:colOff>
      <xdr:row>32</xdr:row>
      <xdr:rowOff>105480</xdr:rowOff>
    </xdr:to>
    <mc:AlternateContent xmlns:mc="http://schemas.openxmlformats.org/markup-compatibility/2006" xmlns:a14="http://schemas.microsoft.com/office/drawing/2010/main">
      <mc:Choice Requires="a14">
        <xdr:graphicFrame macro="">
          <xdr:nvGraphicFramePr>
            <xdr:cNvPr id="10" name="year 4">
              <a:extLst>
                <a:ext uri="{FF2B5EF4-FFF2-40B4-BE49-F238E27FC236}">
                  <a16:creationId xmlns:a16="http://schemas.microsoft.com/office/drawing/2014/main" id="{C5F743AD-1FD0-55AB-1D75-41595BE2E490}"/>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4678680" y="5349240"/>
              <a:ext cx="3589200" cy="60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320040</xdr:colOff>
      <xdr:row>34</xdr:row>
      <xdr:rowOff>99060</xdr:rowOff>
    </xdr:from>
    <xdr:to>
      <xdr:col>11</xdr:col>
      <xdr:colOff>556260</xdr:colOff>
      <xdr:row>49</xdr:row>
      <xdr:rowOff>99060</xdr:rowOff>
    </xdr:to>
    <xdr:graphicFrame macro="">
      <xdr:nvGraphicFramePr>
        <xdr:cNvPr id="2" name="Chart 1">
          <a:extLst>
            <a:ext uri="{FF2B5EF4-FFF2-40B4-BE49-F238E27FC236}">
              <a16:creationId xmlns:a16="http://schemas.microsoft.com/office/drawing/2014/main" id="{E037F7A7-F7AA-70F0-9DF5-A932C8B09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601980</xdr:colOff>
      <xdr:row>1</xdr:row>
      <xdr:rowOff>68580</xdr:rowOff>
    </xdr:from>
    <xdr:to>
      <xdr:col>21</xdr:col>
      <xdr:colOff>335280</xdr:colOff>
      <xdr:row>30</xdr:row>
      <xdr:rowOff>160020</xdr:rowOff>
    </xdr:to>
    <xdr:sp macro="" textlink="">
      <xdr:nvSpPr>
        <xdr:cNvPr id="2" name="Rectangle 1">
          <a:extLst>
            <a:ext uri="{FF2B5EF4-FFF2-40B4-BE49-F238E27FC236}">
              <a16:creationId xmlns:a16="http://schemas.microsoft.com/office/drawing/2014/main" id="{66779A34-1BFF-4B91-B306-7B11686195D5}"/>
            </a:ext>
          </a:extLst>
        </xdr:cNvPr>
        <xdr:cNvSpPr/>
      </xdr:nvSpPr>
      <xdr:spPr>
        <a:xfrm>
          <a:off x="601980" y="251460"/>
          <a:ext cx="12534900" cy="539496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259080</xdr:colOff>
      <xdr:row>1</xdr:row>
      <xdr:rowOff>106680</xdr:rowOff>
    </xdr:from>
    <xdr:to>
      <xdr:col>21</xdr:col>
      <xdr:colOff>205740</xdr:colOff>
      <xdr:row>29</xdr:row>
      <xdr:rowOff>167640</xdr:rowOff>
    </xdr:to>
    <xdr:sp macro="" textlink="">
      <xdr:nvSpPr>
        <xdr:cNvPr id="3" name="Rectangle 2">
          <a:extLst>
            <a:ext uri="{FF2B5EF4-FFF2-40B4-BE49-F238E27FC236}">
              <a16:creationId xmlns:a16="http://schemas.microsoft.com/office/drawing/2014/main" id="{AA4C28BB-48B4-4AD0-8D11-8E9CF1820C4D}"/>
            </a:ext>
          </a:extLst>
        </xdr:cNvPr>
        <xdr:cNvSpPr/>
      </xdr:nvSpPr>
      <xdr:spPr>
        <a:xfrm>
          <a:off x="2087880" y="289560"/>
          <a:ext cx="10919460" cy="5181600"/>
        </a:xfrm>
        <a:prstGeom prst="rect">
          <a:avLst/>
        </a:prstGeom>
        <a:solidFill>
          <a:schemeClr val="tx2">
            <a:lumMod val="20000"/>
            <a:lumOff val="80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411480</xdr:colOff>
      <xdr:row>6</xdr:row>
      <xdr:rowOff>30480</xdr:rowOff>
    </xdr:from>
    <xdr:to>
      <xdr:col>5</xdr:col>
      <xdr:colOff>495300</xdr:colOff>
      <xdr:row>12</xdr:row>
      <xdr:rowOff>160020</xdr:rowOff>
    </xdr:to>
    <mc:AlternateContent xmlns:mc="http://schemas.openxmlformats.org/markup-compatibility/2006" xmlns:a14="http://schemas.microsoft.com/office/drawing/2010/main">
      <mc:Choice Requires="a14">
        <xdr:graphicFrame macro="">
          <xdr:nvGraphicFramePr>
            <xdr:cNvPr id="4" name="Year  7">
              <a:extLst>
                <a:ext uri="{FF2B5EF4-FFF2-40B4-BE49-F238E27FC236}">
                  <a16:creationId xmlns:a16="http://schemas.microsoft.com/office/drawing/2014/main" id="{B165A125-E6F8-428C-8290-173ED05C5D18}"/>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2240280" y="1127760"/>
              <a:ext cx="130302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411480</xdr:colOff>
      <xdr:row>13</xdr:row>
      <xdr:rowOff>60960</xdr:rowOff>
    </xdr:from>
    <xdr:to>
      <xdr:col>5</xdr:col>
      <xdr:colOff>495480</xdr:colOff>
      <xdr:row>29</xdr:row>
      <xdr:rowOff>53340</xdr:rowOff>
    </xdr:to>
    <mc:AlternateContent xmlns:mc="http://schemas.openxmlformats.org/markup-compatibility/2006" xmlns:a14="http://schemas.microsoft.com/office/drawing/2010/main">
      <mc:Choice Requires="a14">
        <xdr:graphicFrame macro="">
          <xdr:nvGraphicFramePr>
            <xdr:cNvPr id="5" name="Month 7">
              <a:extLst>
                <a:ext uri="{FF2B5EF4-FFF2-40B4-BE49-F238E27FC236}">
                  <a16:creationId xmlns:a16="http://schemas.microsoft.com/office/drawing/2014/main" id="{AC3AA9A9-D641-4DF4-AB25-F3072B11EEF8}"/>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2240280" y="2438400"/>
              <a:ext cx="1303200" cy="2918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381000</xdr:colOff>
      <xdr:row>2</xdr:row>
      <xdr:rowOff>30480</xdr:rowOff>
    </xdr:from>
    <xdr:to>
      <xdr:col>6</xdr:col>
      <xdr:colOff>182880</xdr:colOff>
      <xdr:row>5</xdr:row>
      <xdr:rowOff>76200</xdr:rowOff>
    </xdr:to>
    <xdr:sp macro="" textlink="">
      <xdr:nvSpPr>
        <xdr:cNvPr id="6" name="Rectangle: Rounded Corners 5">
          <a:extLst>
            <a:ext uri="{FF2B5EF4-FFF2-40B4-BE49-F238E27FC236}">
              <a16:creationId xmlns:a16="http://schemas.microsoft.com/office/drawing/2014/main" id="{6522CE5D-A93D-41F9-B223-AD597F3A40BB}"/>
            </a:ext>
          </a:extLst>
        </xdr:cNvPr>
        <xdr:cNvSpPr/>
      </xdr:nvSpPr>
      <xdr:spPr>
        <a:xfrm>
          <a:off x="2209800" y="396240"/>
          <a:ext cx="163068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Sonography </a:t>
          </a:r>
          <a:r>
            <a:rPr lang="en-IN" sz="1400" b="1" baseline="0"/>
            <a:t>Patient Analysis</a:t>
          </a:r>
          <a:endParaRPr lang="en-IN" sz="1050" b="1"/>
        </a:p>
      </xdr:txBody>
    </xdr:sp>
    <xdr:clientData/>
  </xdr:twoCellAnchor>
  <xdr:twoCellAnchor>
    <xdr:from>
      <xdr:col>7</xdr:col>
      <xdr:colOff>60960</xdr:colOff>
      <xdr:row>2</xdr:row>
      <xdr:rowOff>68580</xdr:rowOff>
    </xdr:from>
    <xdr:to>
      <xdr:col>8</xdr:col>
      <xdr:colOff>266700</xdr:colOff>
      <xdr:row>5</xdr:row>
      <xdr:rowOff>34904</xdr:rowOff>
    </xdr:to>
    <xdr:sp macro="" textlink="">
      <xdr:nvSpPr>
        <xdr:cNvPr id="7" name="Rectangle: Rounded Corners 6">
          <a:extLst>
            <a:ext uri="{FF2B5EF4-FFF2-40B4-BE49-F238E27FC236}">
              <a16:creationId xmlns:a16="http://schemas.microsoft.com/office/drawing/2014/main" id="{583C8D5E-AD4C-4136-A9B1-117F4302FAA9}"/>
            </a:ext>
          </a:extLst>
        </xdr:cNvPr>
        <xdr:cNvSpPr/>
      </xdr:nvSpPr>
      <xdr:spPr>
        <a:xfrm>
          <a:off x="4328160" y="43434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259080</xdr:colOff>
      <xdr:row>2</xdr:row>
      <xdr:rowOff>68580</xdr:rowOff>
    </xdr:from>
    <xdr:to>
      <xdr:col>9</xdr:col>
      <xdr:colOff>106680</xdr:colOff>
      <xdr:row>5</xdr:row>
      <xdr:rowOff>42524</xdr:rowOff>
    </xdr:to>
    <xdr:sp macro="" textlink="">
      <xdr:nvSpPr>
        <xdr:cNvPr id="8" name="Rectangle: Rounded Corners 7">
          <a:extLst>
            <a:ext uri="{FF2B5EF4-FFF2-40B4-BE49-F238E27FC236}">
              <a16:creationId xmlns:a16="http://schemas.microsoft.com/office/drawing/2014/main" id="{8F03E1D0-A0BD-43A4-B467-6BFAB1849E5B}"/>
            </a:ext>
          </a:extLst>
        </xdr:cNvPr>
        <xdr:cNvSpPr/>
      </xdr:nvSpPr>
      <xdr:spPr>
        <a:xfrm>
          <a:off x="4526280" y="434340"/>
          <a:ext cx="106680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baseline="0">
              <a:solidFill>
                <a:schemeClr val="tx1"/>
              </a:solidFill>
            </a:rPr>
            <a:t>Total 2021-26</a:t>
          </a:r>
        </a:p>
      </xdr:txBody>
    </xdr:sp>
    <xdr:clientData/>
  </xdr:twoCellAnchor>
  <xdr:twoCellAnchor>
    <xdr:from>
      <xdr:col>11</xdr:col>
      <xdr:colOff>91440</xdr:colOff>
      <xdr:row>2</xdr:row>
      <xdr:rowOff>68580</xdr:rowOff>
    </xdr:from>
    <xdr:to>
      <xdr:col>12</xdr:col>
      <xdr:colOff>297180</xdr:colOff>
      <xdr:row>5</xdr:row>
      <xdr:rowOff>34904</xdr:rowOff>
    </xdr:to>
    <xdr:sp macro="" textlink="">
      <xdr:nvSpPr>
        <xdr:cNvPr id="11" name="Rectangle: Rounded Corners 10">
          <a:extLst>
            <a:ext uri="{FF2B5EF4-FFF2-40B4-BE49-F238E27FC236}">
              <a16:creationId xmlns:a16="http://schemas.microsoft.com/office/drawing/2014/main" id="{7965003B-5361-8AE5-DB90-C1BAED4E2985}"/>
            </a:ext>
          </a:extLst>
        </xdr:cNvPr>
        <xdr:cNvSpPr/>
      </xdr:nvSpPr>
      <xdr:spPr>
        <a:xfrm>
          <a:off x="6797040" y="43434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289560</xdr:colOff>
      <xdr:row>2</xdr:row>
      <xdr:rowOff>68580</xdr:rowOff>
    </xdr:from>
    <xdr:to>
      <xdr:col>13</xdr:col>
      <xdr:colOff>137160</xdr:colOff>
      <xdr:row>5</xdr:row>
      <xdr:rowOff>42524</xdr:rowOff>
    </xdr:to>
    <xdr:sp macro="" textlink="">
      <xdr:nvSpPr>
        <xdr:cNvPr id="12" name="Rectangle: Rounded Corners 11">
          <a:extLst>
            <a:ext uri="{FF2B5EF4-FFF2-40B4-BE49-F238E27FC236}">
              <a16:creationId xmlns:a16="http://schemas.microsoft.com/office/drawing/2014/main" id="{09B8ACAF-AAEB-5D33-3B2B-09027657E318}"/>
            </a:ext>
          </a:extLst>
        </xdr:cNvPr>
        <xdr:cNvSpPr/>
      </xdr:nvSpPr>
      <xdr:spPr>
        <a:xfrm>
          <a:off x="6995160" y="434340"/>
          <a:ext cx="106680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baseline="0">
              <a:solidFill>
                <a:schemeClr val="tx1"/>
              </a:solidFill>
            </a:rPr>
            <a:t>KJSS 2021-26</a:t>
          </a:r>
        </a:p>
      </xdr:txBody>
    </xdr:sp>
    <xdr:clientData/>
  </xdr:twoCellAnchor>
  <xdr:twoCellAnchor>
    <xdr:from>
      <xdr:col>11</xdr:col>
      <xdr:colOff>411480</xdr:colOff>
      <xdr:row>3</xdr:row>
      <xdr:rowOff>175260</xdr:rowOff>
    </xdr:from>
    <xdr:to>
      <xdr:col>12</xdr:col>
      <xdr:colOff>502920</xdr:colOff>
      <xdr:row>4</xdr:row>
      <xdr:rowOff>121920</xdr:rowOff>
    </xdr:to>
    <xdr:sp macro="" textlink="">
      <xdr:nvSpPr>
        <xdr:cNvPr id="13" name="Rectangle 12">
          <a:extLst>
            <a:ext uri="{FF2B5EF4-FFF2-40B4-BE49-F238E27FC236}">
              <a16:creationId xmlns:a16="http://schemas.microsoft.com/office/drawing/2014/main" id="{3A86863D-34DF-89BB-9568-6DCF0AC3AF23}"/>
            </a:ext>
          </a:extLst>
        </xdr:cNvPr>
        <xdr:cNvSpPr/>
      </xdr:nvSpPr>
      <xdr:spPr>
        <a:xfrm>
          <a:off x="7117080" y="723900"/>
          <a:ext cx="701040" cy="1295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solidFill>
                <a:sysClr val="windowText" lastClr="000000"/>
              </a:solidFill>
              <a:effectLst/>
            </a:rPr>
            <a:t>983</a:t>
          </a:r>
        </a:p>
      </xdr:txBody>
    </xdr:sp>
    <xdr:clientData/>
  </xdr:twoCellAnchor>
  <xdr:twoCellAnchor>
    <xdr:from>
      <xdr:col>15</xdr:col>
      <xdr:colOff>76200</xdr:colOff>
      <xdr:row>2</xdr:row>
      <xdr:rowOff>68580</xdr:rowOff>
    </xdr:from>
    <xdr:to>
      <xdr:col>16</xdr:col>
      <xdr:colOff>281940</xdr:colOff>
      <xdr:row>5</xdr:row>
      <xdr:rowOff>34904</xdr:rowOff>
    </xdr:to>
    <xdr:sp macro="" textlink="">
      <xdr:nvSpPr>
        <xdr:cNvPr id="14" name="Rectangle: Rounded Corners 13">
          <a:extLst>
            <a:ext uri="{FF2B5EF4-FFF2-40B4-BE49-F238E27FC236}">
              <a16:creationId xmlns:a16="http://schemas.microsoft.com/office/drawing/2014/main" id="{FD592245-4B04-5EF5-4949-2756DD5C54ED}"/>
            </a:ext>
          </a:extLst>
        </xdr:cNvPr>
        <xdr:cNvSpPr/>
      </xdr:nvSpPr>
      <xdr:spPr>
        <a:xfrm>
          <a:off x="9220200" y="43434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274320</xdr:colOff>
      <xdr:row>2</xdr:row>
      <xdr:rowOff>68580</xdr:rowOff>
    </xdr:from>
    <xdr:to>
      <xdr:col>17</xdr:col>
      <xdr:colOff>323682</xdr:colOff>
      <xdr:row>5</xdr:row>
      <xdr:rowOff>42524</xdr:rowOff>
    </xdr:to>
    <xdr:sp macro="" textlink="">
      <xdr:nvSpPr>
        <xdr:cNvPr id="15" name="Rectangle: Rounded Corners 14">
          <a:extLst>
            <a:ext uri="{FF2B5EF4-FFF2-40B4-BE49-F238E27FC236}">
              <a16:creationId xmlns:a16="http://schemas.microsoft.com/office/drawing/2014/main" id="{04FEC4C3-4E19-8764-E0AC-84C93AE71CDA}"/>
            </a:ext>
          </a:extLst>
        </xdr:cNvPr>
        <xdr:cNvSpPr/>
      </xdr:nvSpPr>
      <xdr:spPr>
        <a:xfrm>
          <a:off x="9377860" y="432722"/>
          <a:ext cx="1263167" cy="52015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baseline="0">
              <a:solidFill>
                <a:schemeClr val="tx1"/>
              </a:solidFill>
            </a:rPr>
            <a:t>NON KJSS 2021-26</a:t>
          </a:r>
        </a:p>
      </xdr:txBody>
    </xdr:sp>
    <xdr:clientData/>
  </xdr:twoCellAnchor>
  <xdr:twoCellAnchor>
    <xdr:from>
      <xdr:col>15</xdr:col>
      <xdr:colOff>578850</xdr:colOff>
      <xdr:row>3</xdr:row>
      <xdr:rowOff>175259</xdr:rowOff>
    </xdr:from>
    <xdr:to>
      <xdr:col>17</xdr:col>
      <xdr:colOff>60690</xdr:colOff>
      <xdr:row>4</xdr:row>
      <xdr:rowOff>121919</xdr:rowOff>
    </xdr:to>
    <xdr:sp macro="" textlink="">
      <xdr:nvSpPr>
        <xdr:cNvPr id="16" name="Rectangle 15">
          <a:extLst>
            <a:ext uri="{FF2B5EF4-FFF2-40B4-BE49-F238E27FC236}">
              <a16:creationId xmlns:a16="http://schemas.microsoft.com/office/drawing/2014/main" id="{73A5835A-657E-66D4-F518-82266B55B3D5}"/>
            </a:ext>
          </a:extLst>
        </xdr:cNvPr>
        <xdr:cNvSpPr/>
      </xdr:nvSpPr>
      <xdr:spPr>
        <a:xfrm>
          <a:off x="9682390" y="721471"/>
          <a:ext cx="695645" cy="12873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strike="noStrike">
              <a:solidFill>
                <a:schemeClr val="tx1"/>
              </a:solidFill>
              <a:effectLst/>
              <a:latin typeface="+mn-lt"/>
              <a:ea typeface="+mn-ea"/>
              <a:cs typeface="+mn-cs"/>
            </a:rPr>
            <a:t>52,407</a:t>
          </a:r>
          <a:r>
            <a:rPr lang="en-IN" sz="1050" b="1">
              <a:solidFill>
                <a:schemeClr val="tx1"/>
              </a:solidFill>
              <a:effectLst/>
            </a:rPr>
            <a:t> </a:t>
          </a:r>
        </a:p>
      </xdr:txBody>
    </xdr:sp>
    <xdr:clientData/>
  </xdr:twoCellAnchor>
  <xdr:twoCellAnchor>
    <xdr:from>
      <xdr:col>6</xdr:col>
      <xdr:colOff>281940</xdr:colOff>
      <xdr:row>6</xdr:row>
      <xdr:rowOff>53340</xdr:rowOff>
    </xdr:from>
    <xdr:to>
      <xdr:col>14</xdr:col>
      <xdr:colOff>344340</xdr:colOff>
      <xdr:row>16</xdr:row>
      <xdr:rowOff>0</xdr:rowOff>
    </xdr:to>
    <xdr:graphicFrame macro="">
      <xdr:nvGraphicFramePr>
        <xdr:cNvPr id="17" name="Chart 16">
          <a:extLst>
            <a:ext uri="{FF2B5EF4-FFF2-40B4-BE49-F238E27FC236}">
              <a16:creationId xmlns:a16="http://schemas.microsoft.com/office/drawing/2014/main" id="{56C0A9AE-2074-450F-AC4B-F232FFC3D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281940</xdr:colOff>
      <xdr:row>16</xdr:row>
      <xdr:rowOff>175260</xdr:rowOff>
    </xdr:from>
    <xdr:to>
      <xdr:col>20</xdr:col>
      <xdr:colOff>594360</xdr:colOff>
      <xdr:row>28</xdr:row>
      <xdr:rowOff>144780</xdr:rowOff>
    </xdr:to>
    <xdr:graphicFrame macro="">
      <xdr:nvGraphicFramePr>
        <xdr:cNvPr id="18" name="Chart 17">
          <a:extLst>
            <a:ext uri="{FF2B5EF4-FFF2-40B4-BE49-F238E27FC236}">
              <a16:creationId xmlns:a16="http://schemas.microsoft.com/office/drawing/2014/main" id="{EA55CFB1-B0ED-45C1-BD5F-4971BD4BC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495300</xdr:colOff>
      <xdr:row>7</xdr:row>
      <xdr:rowOff>22860</xdr:rowOff>
    </xdr:from>
    <xdr:to>
      <xdr:col>20</xdr:col>
      <xdr:colOff>594360</xdr:colOff>
      <xdr:row>16</xdr:row>
      <xdr:rowOff>7620</xdr:rowOff>
    </xdr:to>
    <xdr:graphicFrame macro="">
      <xdr:nvGraphicFramePr>
        <xdr:cNvPr id="19" name="Chart 18">
          <a:extLst>
            <a:ext uri="{FF2B5EF4-FFF2-40B4-BE49-F238E27FC236}">
              <a16:creationId xmlns:a16="http://schemas.microsoft.com/office/drawing/2014/main" id="{C531A050-8E76-4DC0-ACF2-F2FA82503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502920</xdr:colOff>
      <xdr:row>6</xdr:row>
      <xdr:rowOff>45720</xdr:rowOff>
    </xdr:from>
    <xdr:to>
      <xdr:col>20</xdr:col>
      <xdr:colOff>594360</xdr:colOff>
      <xdr:row>9</xdr:row>
      <xdr:rowOff>121920</xdr:rowOff>
    </xdr:to>
    <mc:AlternateContent xmlns:mc="http://schemas.openxmlformats.org/markup-compatibility/2006" xmlns:a14="http://schemas.microsoft.com/office/drawing/2010/main">
      <mc:Choice Requires="a14">
        <xdr:graphicFrame macro="">
          <xdr:nvGraphicFramePr>
            <xdr:cNvPr id="20" name="year 5">
              <a:extLst>
                <a:ext uri="{FF2B5EF4-FFF2-40B4-BE49-F238E27FC236}">
                  <a16:creationId xmlns:a16="http://schemas.microsoft.com/office/drawing/2014/main" id="{1084D61D-CF1A-4F3E-81B0-150F66F989EA}"/>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9037320" y="1143000"/>
              <a:ext cx="374904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121920</xdr:colOff>
      <xdr:row>7</xdr:row>
      <xdr:rowOff>106680</xdr:rowOff>
    </xdr:from>
    <xdr:to>
      <xdr:col>3</xdr:col>
      <xdr:colOff>121920</xdr:colOff>
      <xdr:row>9</xdr:row>
      <xdr:rowOff>106680</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56FA2011-3283-28DD-FCFD-96F2ACB51AF8}"/>
            </a:ext>
          </a:extLst>
        </xdr:cNvPr>
        <xdr:cNvSpPr/>
      </xdr:nvSpPr>
      <xdr:spPr>
        <a:xfrm>
          <a:off x="731520" y="1386840"/>
          <a:ext cx="1219200" cy="365760"/>
        </a:xfrm>
        <a:prstGeom prst="roundRect">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Sonography</a:t>
          </a:r>
        </a:p>
      </xdr:txBody>
    </xdr:sp>
    <xdr:clientData/>
  </xdr:twoCellAnchor>
  <xdr:twoCellAnchor>
    <xdr:from>
      <xdr:col>1</xdr:col>
      <xdr:colOff>114300</xdr:colOff>
      <xdr:row>11</xdr:row>
      <xdr:rowOff>30480</xdr:rowOff>
    </xdr:from>
    <xdr:to>
      <xdr:col>3</xdr:col>
      <xdr:colOff>114300</xdr:colOff>
      <xdr:row>13</xdr:row>
      <xdr:rowOff>30480</xdr:rowOff>
    </xdr:to>
    <xdr:sp macro="" textlink="">
      <xdr:nvSpPr>
        <xdr:cNvPr id="21" name="Rectangle: Rounded Corners 20">
          <a:hlinkClick xmlns:r="http://schemas.openxmlformats.org/officeDocument/2006/relationships" r:id="rId5"/>
          <a:extLst>
            <a:ext uri="{FF2B5EF4-FFF2-40B4-BE49-F238E27FC236}">
              <a16:creationId xmlns:a16="http://schemas.microsoft.com/office/drawing/2014/main" id="{3E5845D8-27EE-3E8B-F3A7-3DD7292E935C}"/>
            </a:ext>
          </a:extLst>
        </xdr:cNvPr>
        <xdr:cNvSpPr/>
      </xdr:nvSpPr>
      <xdr:spPr>
        <a:xfrm>
          <a:off x="723900" y="204216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X</a:t>
          </a:r>
          <a:r>
            <a:rPr lang="en-IN" sz="1100" b="1" baseline="0">
              <a:solidFill>
                <a:schemeClr val="bg1"/>
              </a:solidFill>
            </a:rPr>
            <a:t>-ray</a:t>
          </a:r>
          <a:endParaRPr lang="en-IN" sz="1100" b="1">
            <a:solidFill>
              <a:schemeClr val="bg1"/>
            </a:solidFill>
          </a:endParaRPr>
        </a:p>
      </xdr:txBody>
    </xdr:sp>
    <xdr:clientData/>
  </xdr:twoCellAnchor>
  <xdr:twoCellAnchor>
    <xdr:from>
      <xdr:col>1</xdr:col>
      <xdr:colOff>114300</xdr:colOff>
      <xdr:row>14</xdr:row>
      <xdr:rowOff>152400</xdr:rowOff>
    </xdr:from>
    <xdr:to>
      <xdr:col>3</xdr:col>
      <xdr:colOff>114300</xdr:colOff>
      <xdr:row>16</xdr:row>
      <xdr:rowOff>152400</xdr:rowOff>
    </xdr:to>
    <xdr:sp macro="" textlink="">
      <xdr:nvSpPr>
        <xdr:cNvPr id="24" name="Rectangle: Rounded Corners 23">
          <a:hlinkClick xmlns:r="http://schemas.openxmlformats.org/officeDocument/2006/relationships" r:id="rId6"/>
          <a:extLst>
            <a:ext uri="{FF2B5EF4-FFF2-40B4-BE49-F238E27FC236}">
              <a16:creationId xmlns:a16="http://schemas.microsoft.com/office/drawing/2014/main" id="{F93A18E0-AFB4-B60C-DB9D-14A3974D0AF4}"/>
            </a:ext>
          </a:extLst>
        </xdr:cNvPr>
        <xdr:cNvSpPr/>
      </xdr:nvSpPr>
      <xdr:spPr>
        <a:xfrm>
          <a:off x="723900" y="271272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Dental</a:t>
          </a:r>
        </a:p>
      </xdr:txBody>
    </xdr:sp>
    <xdr:clientData/>
  </xdr:twoCellAnchor>
  <xdr:twoCellAnchor>
    <xdr:from>
      <xdr:col>1</xdr:col>
      <xdr:colOff>121920</xdr:colOff>
      <xdr:row>18</xdr:row>
      <xdr:rowOff>68580</xdr:rowOff>
    </xdr:from>
    <xdr:to>
      <xdr:col>3</xdr:col>
      <xdr:colOff>121920</xdr:colOff>
      <xdr:row>20</xdr:row>
      <xdr:rowOff>68580</xdr:rowOff>
    </xdr:to>
    <xdr:sp macro="" textlink="">
      <xdr:nvSpPr>
        <xdr:cNvPr id="27" name="Rectangle: Rounded Corners 26">
          <a:hlinkClick xmlns:r="http://schemas.openxmlformats.org/officeDocument/2006/relationships" r:id="rId7"/>
          <a:extLst>
            <a:ext uri="{FF2B5EF4-FFF2-40B4-BE49-F238E27FC236}">
              <a16:creationId xmlns:a16="http://schemas.microsoft.com/office/drawing/2014/main" id="{6A226C75-09F5-7D40-14BC-ECF60A883540}"/>
            </a:ext>
          </a:extLst>
        </xdr:cNvPr>
        <xdr:cNvSpPr/>
      </xdr:nvSpPr>
      <xdr:spPr>
        <a:xfrm>
          <a:off x="731520" y="336042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BodyCheckup</a:t>
          </a:r>
        </a:p>
      </xdr:txBody>
    </xdr:sp>
    <xdr:clientData/>
  </xdr:twoCellAnchor>
  <xdr:twoCellAnchor>
    <xdr:from>
      <xdr:col>1</xdr:col>
      <xdr:colOff>129540</xdr:colOff>
      <xdr:row>21</xdr:row>
      <xdr:rowOff>175260</xdr:rowOff>
    </xdr:from>
    <xdr:to>
      <xdr:col>3</xdr:col>
      <xdr:colOff>129540</xdr:colOff>
      <xdr:row>23</xdr:row>
      <xdr:rowOff>175260</xdr:rowOff>
    </xdr:to>
    <xdr:sp macro="" textlink="">
      <xdr:nvSpPr>
        <xdr:cNvPr id="28" name="Rectangle: Rounded Corners 27">
          <a:hlinkClick xmlns:r="http://schemas.openxmlformats.org/officeDocument/2006/relationships" r:id="rId8"/>
          <a:extLst>
            <a:ext uri="{FF2B5EF4-FFF2-40B4-BE49-F238E27FC236}">
              <a16:creationId xmlns:a16="http://schemas.microsoft.com/office/drawing/2014/main" id="{DD8FD295-69FA-813C-75D4-4734C7314B31}"/>
            </a:ext>
          </a:extLst>
        </xdr:cNvPr>
        <xdr:cNvSpPr/>
      </xdr:nvSpPr>
      <xdr:spPr>
        <a:xfrm>
          <a:off x="739140" y="401574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Mamography</a:t>
          </a:r>
        </a:p>
      </xdr:txBody>
    </xdr:sp>
    <xdr:clientData/>
  </xdr:twoCellAnchor>
  <xdr:twoCellAnchor>
    <xdr:from>
      <xdr:col>7</xdr:col>
      <xdr:colOff>337168</xdr:colOff>
      <xdr:row>3</xdr:row>
      <xdr:rowOff>101151</xdr:rowOff>
    </xdr:from>
    <xdr:to>
      <xdr:col>8</xdr:col>
      <xdr:colOff>571967</xdr:colOff>
      <xdr:row>4</xdr:row>
      <xdr:rowOff>127291</xdr:rowOff>
    </xdr:to>
    <xdr:sp macro="" textlink="">
      <xdr:nvSpPr>
        <xdr:cNvPr id="22" name="Rectangle 21">
          <a:extLst>
            <a:ext uri="{FF2B5EF4-FFF2-40B4-BE49-F238E27FC236}">
              <a16:creationId xmlns:a16="http://schemas.microsoft.com/office/drawing/2014/main" id="{2D6392BB-977F-42B8-9B8E-6E1135C152C7}"/>
            </a:ext>
          </a:extLst>
        </xdr:cNvPr>
        <xdr:cNvSpPr/>
      </xdr:nvSpPr>
      <xdr:spPr>
        <a:xfrm>
          <a:off x="4585487" y="647363"/>
          <a:ext cx="841701" cy="2082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effectLst/>
              <a:latin typeface="+mn-lt"/>
              <a:ea typeface="+mn-ea"/>
              <a:cs typeface="+mn-cs"/>
            </a:rPr>
            <a:t>53,390</a:t>
          </a:r>
          <a:endParaRPr lang="en-IN" sz="1200" b="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xdr:row>
      <xdr:rowOff>91440</xdr:rowOff>
    </xdr:from>
    <xdr:to>
      <xdr:col>4</xdr:col>
      <xdr:colOff>358140</xdr:colOff>
      <xdr:row>22</xdr:row>
      <xdr:rowOff>22860</xdr:rowOff>
    </xdr:to>
    <xdr:graphicFrame macro="">
      <xdr:nvGraphicFramePr>
        <xdr:cNvPr id="2" name="Chart 1">
          <a:extLst>
            <a:ext uri="{FF2B5EF4-FFF2-40B4-BE49-F238E27FC236}">
              <a16:creationId xmlns:a16="http://schemas.microsoft.com/office/drawing/2014/main" id="{5B0EB749-E4DC-3FE3-0154-6E634A119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27</xdr:row>
      <xdr:rowOff>167640</xdr:rowOff>
    </xdr:from>
    <xdr:to>
      <xdr:col>14</xdr:col>
      <xdr:colOff>571500</xdr:colOff>
      <xdr:row>40</xdr:row>
      <xdr:rowOff>91440</xdr:rowOff>
    </xdr:to>
    <xdr:graphicFrame macro="">
      <xdr:nvGraphicFramePr>
        <xdr:cNvPr id="3" name="Chart 2">
          <a:extLst>
            <a:ext uri="{FF2B5EF4-FFF2-40B4-BE49-F238E27FC236}">
              <a16:creationId xmlns:a16="http://schemas.microsoft.com/office/drawing/2014/main" id="{4A16E133-35C3-8EE2-2C72-435E21F91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693420</xdr:colOff>
      <xdr:row>46</xdr:row>
      <xdr:rowOff>60960</xdr:rowOff>
    </xdr:from>
    <xdr:to>
      <xdr:col>13</xdr:col>
      <xdr:colOff>167640</xdr:colOff>
      <xdr:row>59</xdr:row>
      <xdr:rowOff>53340</xdr:rowOff>
    </xdr:to>
    <xdr:graphicFrame macro="">
      <xdr:nvGraphicFramePr>
        <xdr:cNvPr id="4" name="Chart 3">
          <a:extLst>
            <a:ext uri="{FF2B5EF4-FFF2-40B4-BE49-F238E27FC236}">
              <a16:creationId xmlns:a16="http://schemas.microsoft.com/office/drawing/2014/main" id="{4F809AB9-3434-CCEB-C0D5-F9CC36C4D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190500</xdr:colOff>
      <xdr:row>46</xdr:row>
      <xdr:rowOff>114300</xdr:rowOff>
    </xdr:from>
    <xdr:to>
      <xdr:col>20</xdr:col>
      <xdr:colOff>197700</xdr:colOff>
      <xdr:row>50</xdr:row>
      <xdr:rowOff>9180</xdr:rowOff>
    </xdr:to>
    <mc:AlternateContent xmlns:mc="http://schemas.openxmlformats.org/markup-compatibility/2006" xmlns:a14="http://schemas.microsoft.com/office/drawing/2010/main">
      <mc:Choice Requires="a14">
        <xdr:graphicFrame macro="">
          <xdr:nvGraphicFramePr>
            <xdr:cNvPr id="7" name="year 6">
              <a:extLst>
                <a:ext uri="{FF2B5EF4-FFF2-40B4-BE49-F238E27FC236}">
                  <a16:creationId xmlns:a16="http://schemas.microsoft.com/office/drawing/2014/main" id="{7782F7D3-14DB-E33F-54F8-C5B4682953B5}"/>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0568940" y="8526780"/>
              <a:ext cx="3664800" cy="62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685800</xdr:colOff>
      <xdr:row>8</xdr:row>
      <xdr:rowOff>45720</xdr:rowOff>
    </xdr:from>
    <xdr:to>
      <xdr:col>10</xdr:col>
      <xdr:colOff>190500</xdr:colOff>
      <xdr:row>21</xdr:row>
      <xdr:rowOff>135255</xdr:rowOff>
    </xdr:to>
    <mc:AlternateContent xmlns:mc="http://schemas.openxmlformats.org/markup-compatibility/2006" xmlns:a14="http://schemas.microsoft.com/office/drawing/2010/main">
      <mc:Choice Requires="a14">
        <xdr:graphicFrame macro="">
          <xdr:nvGraphicFramePr>
            <xdr:cNvPr id="8" name="Year  8">
              <a:extLst>
                <a:ext uri="{FF2B5EF4-FFF2-40B4-BE49-F238E27FC236}">
                  <a16:creationId xmlns:a16="http://schemas.microsoft.com/office/drawing/2014/main" id="{591FDA7C-AC40-8ADC-907A-774E611830B8}"/>
                </a:ext>
              </a:extLst>
            </xdr:cNvPr>
            <xdr:cNvGraphicFramePr/>
          </xdr:nvGraphicFramePr>
          <xdr:xfrm>
            <a:off x="0" y="0"/>
            <a:ext cx="0" cy="0"/>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630174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182880</xdr:colOff>
      <xdr:row>8</xdr:row>
      <xdr:rowOff>68580</xdr:rowOff>
    </xdr:from>
    <xdr:to>
      <xdr:col>15</xdr:col>
      <xdr:colOff>182880</xdr:colOff>
      <xdr:row>21</xdr:row>
      <xdr:rowOff>158115</xdr:rowOff>
    </xdr:to>
    <mc:AlternateContent xmlns:mc="http://schemas.openxmlformats.org/markup-compatibility/2006" xmlns:a14="http://schemas.microsoft.com/office/drawing/2010/main">
      <mc:Choice Requires="a14">
        <xdr:graphicFrame macro="">
          <xdr:nvGraphicFramePr>
            <xdr:cNvPr id="9" name="Month 8">
              <a:extLst>
                <a:ext uri="{FF2B5EF4-FFF2-40B4-BE49-F238E27FC236}">
                  <a16:creationId xmlns:a16="http://schemas.microsoft.com/office/drawing/2014/main" id="{FDA6E11D-88D6-1A81-3224-FDC0F99C3998}"/>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9342120" y="1531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0</xdr:rowOff>
    </xdr:from>
    <xdr:to>
      <xdr:col>21</xdr:col>
      <xdr:colOff>99060</xdr:colOff>
      <xdr:row>30</xdr:row>
      <xdr:rowOff>22860</xdr:rowOff>
    </xdr:to>
    <xdr:sp macro="" textlink="">
      <xdr:nvSpPr>
        <xdr:cNvPr id="2" name="Rectangle 1">
          <a:extLst>
            <a:ext uri="{FF2B5EF4-FFF2-40B4-BE49-F238E27FC236}">
              <a16:creationId xmlns:a16="http://schemas.microsoft.com/office/drawing/2014/main" id="{E0600D2A-54FA-4833-9663-C72D1555423C}"/>
            </a:ext>
          </a:extLst>
        </xdr:cNvPr>
        <xdr:cNvSpPr/>
      </xdr:nvSpPr>
      <xdr:spPr>
        <a:xfrm>
          <a:off x="609600" y="182880"/>
          <a:ext cx="12291060" cy="532638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266700</xdr:colOff>
      <xdr:row>1</xdr:row>
      <xdr:rowOff>106680</xdr:rowOff>
    </xdr:from>
    <xdr:to>
      <xdr:col>20</xdr:col>
      <xdr:colOff>571500</xdr:colOff>
      <xdr:row>29</xdr:row>
      <xdr:rowOff>99060</xdr:rowOff>
    </xdr:to>
    <xdr:sp macro="" textlink="">
      <xdr:nvSpPr>
        <xdr:cNvPr id="3" name="Rectangle 2">
          <a:extLst>
            <a:ext uri="{FF2B5EF4-FFF2-40B4-BE49-F238E27FC236}">
              <a16:creationId xmlns:a16="http://schemas.microsoft.com/office/drawing/2014/main" id="{6BB3E3B4-E4DF-421A-A45E-8B7436E02943}"/>
            </a:ext>
          </a:extLst>
        </xdr:cNvPr>
        <xdr:cNvSpPr/>
      </xdr:nvSpPr>
      <xdr:spPr>
        <a:xfrm>
          <a:off x="2095500" y="289560"/>
          <a:ext cx="10668000" cy="5113020"/>
        </a:xfrm>
        <a:prstGeom prst="rect">
          <a:avLst/>
        </a:prstGeom>
        <a:solidFill>
          <a:schemeClr val="tx2">
            <a:lumMod val="20000"/>
            <a:lumOff val="80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403860</xdr:colOff>
      <xdr:row>2</xdr:row>
      <xdr:rowOff>45720</xdr:rowOff>
    </xdr:from>
    <xdr:to>
      <xdr:col>6</xdr:col>
      <xdr:colOff>205740</xdr:colOff>
      <xdr:row>5</xdr:row>
      <xdr:rowOff>91440</xdr:rowOff>
    </xdr:to>
    <xdr:sp macro="" textlink="">
      <xdr:nvSpPr>
        <xdr:cNvPr id="4" name="Rectangle: Rounded Corners 3">
          <a:extLst>
            <a:ext uri="{FF2B5EF4-FFF2-40B4-BE49-F238E27FC236}">
              <a16:creationId xmlns:a16="http://schemas.microsoft.com/office/drawing/2014/main" id="{B753EEAD-3513-463D-B3FF-2D694104E698}"/>
            </a:ext>
          </a:extLst>
        </xdr:cNvPr>
        <xdr:cNvSpPr/>
      </xdr:nvSpPr>
      <xdr:spPr>
        <a:xfrm>
          <a:off x="2232660" y="411480"/>
          <a:ext cx="163068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X-ray</a:t>
          </a:r>
        </a:p>
        <a:p>
          <a:pPr algn="ctr"/>
          <a:r>
            <a:rPr lang="en-IN" sz="1400" b="1"/>
            <a:t> </a:t>
          </a:r>
          <a:r>
            <a:rPr lang="en-IN" sz="1400" b="1" baseline="0"/>
            <a:t>Patient Analysis</a:t>
          </a:r>
          <a:endParaRPr lang="en-IN" sz="1050" b="1"/>
        </a:p>
      </xdr:txBody>
    </xdr:sp>
    <xdr:clientData/>
  </xdr:twoCellAnchor>
  <xdr:twoCellAnchor editAs="oneCell">
    <xdr:from>
      <xdr:col>3</xdr:col>
      <xdr:colOff>419100</xdr:colOff>
      <xdr:row>6</xdr:row>
      <xdr:rowOff>53340</xdr:rowOff>
    </xdr:from>
    <xdr:to>
      <xdr:col>5</xdr:col>
      <xdr:colOff>503100</xdr:colOff>
      <xdr:row>13</xdr:row>
      <xdr:rowOff>7620</xdr:rowOff>
    </xdr:to>
    <mc:AlternateContent xmlns:mc="http://schemas.openxmlformats.org/markup-compatibility/2006" xmlns:a14="http://schemas.microsoft.com/office/drawing/2010/main">
      <mc:Choice Requires="a14">
        <xdr:graphicFrame macro="">
          <xdr:nvGraphicFramePr>
            <xdr:cNvPr id="6" name="Year  9">
              <a:extLst>
                <a:ext uri="{FF2B5EF4-FFF2-40B4-BE49-F238E27FC236}">
                  <a16:creationId xmlns:a16="http://schemas.microsoft.com/office/drawing/2014/main" id="{E31C22E8-F1B9-4015-BFF3-E0CB14D93C2B}"/>
                </a:ext>
              </a:extLst>
            </xdr:cNvPr>
            <xdr:cNvGraphicFramePr/>
          </xdr:nvGraphicFramePr>
          <xdr:xfrm>
            <a:off x="0" y="0"/>
            <a:ext cx="0" cy="0"/>
          </xdr:xfrm>
          <a:graphic>
            <a:graphicData uri="http://schemas.microsoft.com/office/drawing/2010/slicer">
              <sle:slicer xmlns:sle="http://schemas.microsoft.com/office/drawing/2010/slicer" name="Year  9"/>
            </a:graphicData>
          </a:graphic>
        </xdr:graphicFrame>
      </mc:Choice>
      <mc:Fallback xmlns="">
        <xdr:sp macro="" textlink="">
          <xdr:nvSpPr>
            <xdr:cNvPr id="0" name=""/>
            <xdr:cNvSpPr>
              <a:spLocks noTextEdit="1"/>
            </xdr:cNvSpPr>
          </xdr:nvSpPr>
          <xdr:spPr>
            <a:xfrm>
              <a:off x="2247900" y="1150620"/>
              <a:ext cx="13032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426720</xdr:colOff>
      <xdr:row>13</xdr:row>
      <xdr:rowOff>60960</xdr:rowOff>
    </xdr:from>
    <xdr:to>
      <xdr:col>5</xdr:col>
      <xdr:colOff>510720</xdr:colOff>
      <xdr:row>29</xdr:row>
      <xdr:rowOff>53340</xdr:rowOff>
    </xdr:to>
    <mc:AlternateContent xmlns:mc="http://schemas.openxmlformats.org/markup-compatibility/2006" xmlns:a14="http://schemas.microsoft.com/office/drawing/2010/main">
      <mc:Choice Requires="a14">
        <xdr:graphicFrame macro="">
          <xdr:nvGraphicFramePr>
            <xdr:cNvPr id="7" name="Month 9">
              <a:extLst>
                <a:ext uri="{FF2B5EF4-FFF2-40B4-BE49-F238E27FC236}">
                  <a16:creationId xmlns:a16="http://schemas.microsoft.com/office/drawing/2014/main" id="{56DCB9BE-6EF5-4951-A177-D92CFEFBBCA2}"/>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2255520" y="2438400"/>
              <a:ext cx="1303200" cy="2918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144780</xdr:colOff>
      <xdr:row>2</xdr:row>
      <xdr:rowOff>106680</xdr:rowOff>
    </xdr:from>
    <xdr:to>
      <xdr:col>8</xdr:col>
      <xdr:colOff>350520</xdr:colOff>
      <xdr:row>5</xdr:row>
      <xdr:rowOff>73004</xdr:rowOff>
    </xdr:to>
    <xdr:sp macro="" textlink="">
      <xdr:nvSpPr>
        <xdr:cNvPr id="9" name="Rectangle: Rounded Corners 8">
          <a:extLst>
            <a:ext uri="{FF2B5EF4-FFF2-40B4-BE49-F238E27FC236}">
              <a16:creationId xmlns:a16="http://schemas.microsoft.com/office/drawing/2014/main" id="{AE75B78D-8FD0-4661-A4C7-C7E71C8AC0D0}"/>
            </a:ext>
          </a:extLst>
        </xdr:cNvPr>
        <xdr:cNvSpPr/>
      </xdr:nvSpPr>
      <xdr:spPr>
        <a:xfrm>
          <a:off x="4411980" y="47244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342900</xdr:colOff>
      <xdr:row>2</xdr:row>
      <xdr:rowOff>106680</xdr:rowOff>
    </xdr:from>
    <xdr:to>
      <xdr:col>9</xdr:col>
      <xdr:colOff>190500</xdr:colOff>
      <xdr:row>5</xdr:row>
      <xdr:rowOff>80624</xdr:rowOff>
    </xdr:to>
    <xdr:sp macro="" textlink="">
      <xdr:nvSpPr>
        <xdr:cNvPr id="10" name="Rectangle: Rounded Corners 9">
          <a:extLst>
            <a:ext uri="{FF2B5EF4-FFF2-40B4-BE49-F238E27FC236}">
              <a16:creationId xmlns:a16="http://schemas.microsoft.com/office/drawing/2014/main" id="{B5FC54B7-2EF1-4761-AD60-B8843ADB70D6}"/>
            </a:ext>
          </a:extLst>
        </xdr:cNvPr>
        <xdr:cNvSpPr/>
      </xdr:nvSpPr>
      <xdr:spPr>
        <a:xfrm>
          <a:off x="4610100" y="472440"/>
          <a:ext cx="106680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baseline="0">
              <a:solidFill>
                <a:schemeClr val="tx1"/>
              </a:solidFill>
            </a:rPr>
            <a:t>Total 2021-26</a:t>
          </a:r>
        </a:p>
      </xdr:txBody>
    </xdr:sp>
    <xdr:clientData/>
  </xdr:twoCellAnchor>
  <xdr:twoCellAnchor>
    <xdr:from>
      <xdr:col>11</xdr:col>
      <xdr:colOff>53340</xdr:colOff>
      <xdr:row>2</xdr:row>
      <xdr:rowOff>99060</xdr:rowOff>
    </xdr:from>
    <xdr:to>
      <xdr:col>12</xdr:col>
      <xdr:colOff>259080</xdr:colOff>
      <xdr:row>5</xdr:row>
      <xdr:rowOff>65384</xdr:rowOff>
    </xdr:to>
    <xdr:sp macro="" textlink="">
      <xdr:nvSpPr>
        <xdr:cNvPr id="15" name="Rectangle: Rounded Corners 14">
          <a:extLst>
            <a:ext uri="{FF2B5EF4-FFF2-40B4-BE49-F238E27FC236}">
              <a16:creationId xmlns:a16="http://schemas.microsoft.com/office/drawing/2014/main" id="{8CC15BB7-2FD4-D29F-6DAC-78547455C51A}"/>
            </a:ext>
          </a:extLst>
        </xdr:cNvPr>
        <xdr:cNvSpPr/>
      </xdr:nvSpPr>
      <xdr:spPr>
        <a:xfrm>
          <a:off x="6758940" y="46482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266700</xdr:colOff>
      <xdr:row>2</xdr:row>
      <xdr:rowOff>99060</xdr:rowOff>
    </xdr:from>
    <xdr:to>
      <xdr:col>13</xdr:col>
      <xdr:colOff>114300</xdr:colOff>
      <xdr:row>5</xdr:row>
      <xdr:rowOff>73004</xdr:rowOff>
    </xdr:to>
    <xdr:sp macro="" textlink="">
      <xdr:nvSpPr>
        <xdr:cNvPr id="16" name="Rectangle: Rounded Corners 15">
          <a:extLst>
            <a:ext uri="{FF2B5EF4-FFF2-40B4-BE49-F238E27FC236}">
              <a16:creationId xmlns:a16="http://schemas.microsoft.com/office/drawing/2014/main" id="{C452C231-F68E-A200-C12E-9C5DC51B86BE}"/>
            </a:ext>
          </a:extLst>
        </xdr:cNvPr>
        <xdr:cNvSpPr/>
      </xdr:nvSpPr>
      <xdr:spPr>
        <a:xfrm>
          <a:off x="6972300" y="464820"/>
          <a:ext cx="106680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baseline="0">
              <a:solidFill>
                <a:schemeClr val="tx1"/>
              </a:solidFill>
            </a:rPr>
            <a:t>KJSS 2021-26</a:t>
          </a:r>
        </a:p>
      </xdr:txBody>
    </xdr:sp>
    <xdr:clientData/>
  </xdr:twoCellAnchor>
  <xdr:twoCellAnchor>
    <xdr:from>
      <xdr:col>11</xdr:col>
      <xdr:colOff>342900</xdr:colOff>
      <xdr:row>4</xdr:row>
      <xdr:rowOff>15240</xdr:rowOff>
    </xdr:from>
    <xdr:to>
      <xdr:col>12</xdr:col>
      <xdr:colOff>434340</xdr:colOff>
      <xdr:row>4</xdr:row>
      <xdr:rowOff>144780</xdr:rowOff>
    </xdr:to>
    <xdr:sp macro="" textlink="">
      <xdr:nvSpPr>
        <xdr:cNvPr id="17" name="Rectangle 16">
          <a:extLst>
            <a:ext uri="{FF2B5EF4-FFF2-40B4-BE49-F238E27FC236}">
              <a16:creationId xmlns:a16="http://schemas.microsoft.com/office/drawing/2014/main" id="{4C9BA08D-C43F-3007-8F17-72B02177D497}"/>
            </a:ext>
          </a:extLst>
        </xdr:cNvPr>
        <xdr:cNvSpPr/>
      </xdr:nvSpPr>
      <xdr:spPr>
        <a:xfrm>
          <a:off x="7048500" y="746760"/>
          <a:ext cx="701040" cy="1295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solidFill>
                <a:sysClr val="windowText" lastClr="000000"/>
              </a:solidFill>
              <a:effectLst/>
            </a:rPr>
            <a:t>2,098</a:t>
          </a:r>
        </a:p>
      </xdr:txBody>
    </xdr:sp>
    <xdr:clientData/>
  </xdr:twoCellAnchor>
  <xdr:twoCellAnchor>
    <xdr:from>
      <xdr:col>15</xdr:col>
      <xdr:colOff>15240</xdr:colOff>
      <xdr:row>2</xdr:row>
      <xdr:rowOff>99060</xdr:rowOff>
    </xdr:from>
    <xdr:to>
      <xdr:col>16</xdr:col>
      <xdr:colOff>220980</xdr:colOff>
      <xdr:row>5</xdr:row>
      <xdr:rowOff>65384</xdr:rowOff>
    </xdr:to>
    <xdr:sp macro="" textlink="">
      <xdr:nvSpPr>
        <xdr:cNvPr id="18" name="Rectangle: Rounded Corners 17">
          <a:extLst>
            <a:ext uri="{FF2B5EF4-FFF2-40B4-BE49-F238E27FC236}">
              <a16:creationId xmlns:a16="http://schemas.microsoft.com/office/drawing/2014/main" id="{95D3A36E-36CF-F63D-D365-ACDA751C0B18}"/>
            </a:ext>
          </a:extLst>
        </xdr:cNvPr>
        <xdr:cNvSpPr/>
      </xdr:nvSpPr>
      <xdr:spPr>
        <a:xfrm>
          <a:off x="9159240" y="46482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213360</xdr:colOff>
      <xdr:row>2</xdr:row>
      <xdr:rowOff>99060</xdr:rowOff>
    </xdr:from>
    <xdr:to>
      <xdr:col>17</xdr:col>
      <xdr:colOff>243840</xdr:colOff>
      <xdr:row>5</xdr:row>
      <xdr:rowOff>73004</xdr:rowOff>
    </xdr:to>
    <xdr:sp macro="" textlink="">
      <xdr:nvSpPr>
        <xdr:cNvPr id="19" name="Rectangle: Rounded Corners 18">
          <a:extLst>
            <a:ext uri="{FF2B5EF4-FFF2-40B4-BE49-F238E27FC236}">
              <a16:creationId xmlns:a16="http://schemas.microsoft.com/office/drawing/2014/main" id="{878DD97A-F8D3-411B-90E0-3B48C46EC41C}"/>
            </a:ext>
          </a:extLst>
        </xdr:cNvPr>
        <xdr:cNvSpPr/>
      </xdr:nvSpPr>
      <xdr:spPr>
        <a:xfrm>
          <a:off x="9357360" y="464820"/>
          <a:ext cx="124968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baseline="0">
              <a:solidFill>
                <a:schemeClr val="tx1"/>
              </a:solidFill>
            </a:rPr>
            <a:t>NON KJSS 2021-26</a:t>
          </a:r>
        </a:p>
      </xdr:txBody>
    </xdr:sp>
    <xdr:clientData/>
  </xdr:twoCellAnchor>
  <xdr:twoCellAnchor>
    <xdr:from>
      <xdr:col>15</xdr:col>
      <xdr:colOff>487680</xdr:colOff>
      <xdr:row>4</xdr:row>
      <xdr:rowOff>7620</xdr:rowOff>
    </xdr:from>
    <xdr:to>
      <xdr:col>16</xdr:col>
      <xdr:colOff>579120</xdr:colOff>
      <xdr:row>4</xdr:row>
      <xdr:rowOff>137160</xdr:rowOff>
    </xdr:to>
    <xdr:sp macro="" textlink="">
      <xdr:nvSpPr>
        <xdr:cNvPr id="20" name="Rectangle 19">
          <a:extLst>
            <a:ext uri="{FF2B5EF4-FFF2-40B4-BE49-F238E27FC236}">
              <a16:creationId xmlns:a16="http://schemas.microsoft.com/office/drawing/2014/main" id="{E228EA6B-4954-A189-4308-EA593BDB6978}"/>
            </a:ext>
          </a:extLst>
        </xdr:cNvPr>
        <xdr:cNvSpPr/>
      </xdr:nvSpPr>
      <xdr:spPr>
        <a:xfrm>
          <a:off x="9631680" y="739140"/>
          <a:ext cx="701040" cy="1295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solidFill>
                <a:sysClr val="windowText" lastClr="000000"/>
              </a:solidFill>
              <a:effectLst/>
            </a:rPr>
            <a:t>35,753</a:t>
          </a:r>
        </a:p>
      </xdr:txBody>
    </xdr:sp>
    <xdr:clientData/>
  </xdr:twoCellAnchor>
  <xdr:twoCellAnchor>
    <xdr:from>
      <xdr:col>6</xdr:col>
      <xdr:colOff>160020</xdr:colOff>
      <xdr:row>6</xdr:row>
      <xdr:rowOff>144780</xdr:rowOff>
    </xdr:from>
    <xdr:to>
      <xdr:col>14</xdr:col>
      <xdr:colOff>222420</xdr:colOff>
      <xdr:row>16</xdr:row>
      <xdr:rowOff>90780</xdr:rowOff>
    </xdr:to>
    <xdr:graphicFrame macro="">
      <xdr:nvGraphicFramePr>
        <xdr:cNvPr id="21" name="Chart 20">
          <a:extLst>
            <a:ext uri="{FF2B5EF4-FFF2-40B4-BE49-F238E27FC236}">
              <a16:creationId xmlns:a16="http://schemas.microsoft.com/office/drawing/2014/main" id="{C4110737-1DEC-447E-8BB0-F050181EF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167640</xdr:colOff>
      <xdr:row>17</xdr:row>
      <xdr:rowOff>7620</xdr:rowOff>
    </xdr:from>
    <xdr:to>
      <xdr:col>20</xdr:col>
      <xdr:colOff>358140</xdr:colOff>
      <xdr:row>28</xdr:row>
      <xdr:rowOff>159540</xdr:rowOff>
    </xdr:to>
    <xdr:graphicFrame macro="">
      <xdr:nvGraphicFramePr>
        <xdr:cNvPr id="22" name="Chart 21">
          <a:extLst>
            <a:ext uri="{FF2B5EF4-FFF2-40B4-BE49-F238E27FC236}">
              <a16:creationId xmlns:a16="http://schemas.microsoft.com/office/drawing/2014/main" id="{C7140430-476A-4E66-ABE7-C20E0939B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335280</xdr:colOff>
      <xdr:row>8</xdr:row>
      <xdr:rowOff>60960</xdr:rowOff>
    </xdr:from>
    <xdr:to>
      <xdr:col>20</xdr:col>
      <xdr:colOff>367680</xdr:colOff>
      <xdr:row>16</xdr:row>
      <xdr:rowOff>83820</xdr:rowOff>
    </xdr:to>
    <xdr:graphicFrame macro="">
      <xdr:nvGraphicFramePr>
        <xdr:cNvPr id="23" name="Chart 22">
          <a:extLst>
            <a:ext uri="{FF2B5EF4-FFF2-40B4-BE49-F238E27FC236}">
              <a16:creationId xmlns:a16="http://schemas.microsoft.com/office/drawing/2014/main" id="{E242D1F4-8D61-493C-98EF-52646E25B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335280</xdr:colOff>
      <xdr:row>6</xdr:row>
      <xdr:rowOff>83820</xdr:rowOff>
    </xdr:from>
    <xdr:to>
      <xdr:col>20</xdr:col>
      <xdr:colOff>358140</xdr:colOff>
      <xdr:row>9</xdr:row>
      <xdr:rowOff>161580</xdr:rowOff>
    </xdr:to>
    <mc:AlternateContent xmlns:mc="http://schemas.openxmlformats.org/markup-compatibility/2006" xmlns:a14="http://schemas.microsoft.com/office/drawing/2010/main">
      <mc:Choice Requires="a14">
        <xdr:graphicFrame macro="">
          <xdr:nvGraphicFramePr>
            <xdr:cNvPr id="24" name="year 7">
              <a:extLst>
                <a:ext uri="{FF2B5EF4-FFF2-40B4-BE49-F238E27FC236}">
                  <a16:creationId xmlns:a16="http://schemas.microsoft.com/office/drawing/2014/main" id="{CD2B9AA2-963A-431E-8126-1F738DEB3823}"/>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8869680" y="1181100"/>
              <a:ext cx="3680460" cy="62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152400</xdr:colOff>
      <xdr:row>5</xdr:row>
      <xdr:rowOff>175260</xdr:rowOff>
    </xdr:from>
    <xdr:to>
      <xdr:col>3</xdr:col>
      <xdr:colOff>152400</xdr:colOff>
      <xdr:row>7</xdr:row>
      <xdr:rowOff>175260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2CB3E3F3-3BCB-4B50-8D90-2B441BFAF403}"/>
            </a:ext>
          </a:extLst>
        </xdr:cNvPr>
        <xdr:cNvSpPr/>
      </xdr:nvSpPr>
      <xdr:spPr>
        <a:xfrm>
          <a:off x="762000" y="108966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Sonography</a:t>
          </a:r>
        </a:p>
      </xdr:txBody>
    </xdr:sp>
    <xdr:clientData/>
  </xdr:twoCellAnchor>
  <xdr:twoCellAnchor>
    <xdr:from>
      <xdr:col>1</xdr:col>
      <xdr:colOff>144780</xdr:colOff>
      <xdr:row>9</xdr:row>
      <xdr:rowOff>175260</xdr:rowOff>
    </xdr:from>
    <xdr:to>
      <xdr:col>3</xdr:col>
      <xdr:colOff>144780</xdr:colOff>
      <xdr:row>11</xdr:row>
      <xdr:rowOff>175260</xdr:rowOff>
    </xdr:to>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18E32EB1-1233-4A4D-AAF3-5222DBACC52F}"/>
            </a:ext>
          </a:extLst>
        </xdr:cNvPr>
        <xdr:cNvSpPr/>
      </xdr:nvSpPr>
      <xdr:spPr>
        <a:xfrm>
          <a:off x="754380" y="1821180"/>
          <a:ext cx="1219200" cy="365760"/>
        </a:xfrm>
        <a:prstGeom prst="roundRect">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a:solidFill>
                <a:schemeClr val="tx1"/>
              </a:solidFill>
            </a:rPr>
            <a:t>X-ray</a:t>
          </a:r>
        </a:p>
      </xdr:txBody>
    </xdr:sp>
    <xdr:clientData/>
  </xdr:twoCellAnchor>
  <xdr:twoCellAnchor>
    <xdr:from>
      <xdr:col>1</xdr:col>
      <xdr:colOff>144780</xdr:colOff>
      <xdr:row>13</xdr:row>
      <xdr:rowOff>175260</xdr:rowOff>
    </xdr:from>
    <xdr:to>
      <xdr:col>3</xdr:col>
      <xdr:colOff>144780</xdr:colOff>
      <xdr:row>15</xdr:row>
      <xdr:rowOff>175260</xdr:rowOff>
    </xdr:to>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C41A26EB-DC95-5577-4678-736B41ECC7F0}"/>
            </a:ext>
          </a:extLst>
        </xdr:cNvPr>
        <xdr:cNvSpPr/>
      </xdr:nvSpPr>
      <xdr:spPr>
        <a:xfrm>
          <a:off x="754380" y="255270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Dental</a:t>
          </a:r>
        </a:p>
      </xdr:txBody>
    </xdr:sp>
    <xdr:clientData/>
  </xdr:twoCellAnchor>
  <xdr:twoCellAnchor>
    <xdr:from>
      <xdr:col>1</xdr:col>
      <xdr:colOff>160020</xdr:colOff>
      <xdr:row>17</xdr:row>
      <xdr:rowOff>167640</xdr:rowOff>
    </xdr:from>
    <xdr:to>
      <xdr:col>3</xdr:col>
      <xdr:colOff>160020</xdr:colOff>
      <xdr:row>19</xdr:row>
      <xdr:rowOff>167640</xdr:rowOff>
    </xdr:to>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BA2C1558-BAC2-C75D-D5D3-B9D6B21F620A}"/>
            </a:ext>
          </a:extLst>
        </xdr:cNvPr>
        <xdr:cNvSpPr/>
      </xdr:nvSpPr>
      <xdr:spPr>
        <a:xfrm>
          <a:off x="769620" y="327660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BodyCheckup</a:t>
          </a:r>
        </a:p>
      </xdr:txBody>
    </xdr:sp>
    <xdr:clientData/>
  </xdr:twoCellAnchor>
  <xdr:twoCellAnchor>
    <xdr:from>
      <xdr:col>1</xdr:col>
      <xdr:colOff>160020</xdr:colOff>
      <xdr:row>21</xdr:row>
      <xdr:rowOff>137160</xdr:rowOff>
    </xdr:from>
    <xdr:to>
      <xdr:col>3</xdr:col>
      <xdr:colOff>160020</xdr:colOff>
      <xdr:row>23</xdr:row>
      <xdr:rowOff>137160</xdr:rowOff>
    </xdr:to>
    <xdr:sp macro="" textlink="">
      <xdr:nvSpPr>
        <xdr:cNvPr id="25" name="Rectangle: Rounded Corners 24">
          <a:hlinkClick xmlns:r="http://schemas.openxmlformats.org/officeDocument/2006/relationships" r:id="rId8"/>
          <a:extLst>
            <a:ext uri="{FF2B5EF4-FFF2-40B4-BE49-F238E27FC236}">
              <a16:creationId xmlns:a16="http://schemas.microsoft.com/office/drawing/2014/main" id="{5C0BA9C3-5D6F-9EA8-2A88-C8C85BB901DB}"/>
            </a:ext>
          </a:extLst>
        </xdr:cNvPr>
        <xdr:cNvSpPr/>
      </xdr:nvSpPr>
      <xdr:spPr>
        <a:xfrm>
          <a:off x="769620" y="397764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Mamography</a:t>
          </a:r>
        </a:p>
      </xdr:txBody>
    </xdr:sp>
    <xdr:clientData/>
  </xdr:twoCellAnchor>
  <xdr:twoCellAnchor>
    <xdr:from>
      <xdr:col>7</xdr:col>
      <xdr:colOff>415787</xdr:colOff>
      <xdr:row>3</xdr:row>
      <xdr:rowOff>161014</xdr:rowOff>
    </xdr:from>
    <xdr:to>
      <xdr:col>9</xdr:col>
      <xdr:colOff>45263</xdr:colOff>
      <xdr:row>4</xdr:row>
      <xdr:rowOff>183694</xdr:rowOff>
    </xdr:to>
    <xdr:sp macro="" textlink="">
      <xdr:nvSpPr>
        <xdr:cNvPr id="5" name="Rectangle 4">
          <a:extLst>
            <a:ext uri="{FF2B5EF4-FFF2-40B4-BE49-F238E27FC236}">
              <a16:creationId xmlns:a16="http://schemas.microsoft.com/office/drawing/2014/main" id="{EDF66970-D93A-4CD1-8378-72CE01C320D1}"/>
            </a:ext>
          </a:extLst>
        </xdr:cNvPr>
        <xdr:cNvSpPr/>
      </xdr:nvSpPr>
      <xdr:spPr>
        <a:xfrm>
          <a:off x="4682987" y="717605"/>
          <a:ext cx="848676" cy="2082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solidFill>
                <a:schemeClr val="tx1"/>
              </a:solidFill>
              <a:effectLst/>
              <a:latin typeface="+mn-lt"/>
              <a:ea typeface="+mn-ea"/>
              <a:cs typeface="+mn-cs"/>
            </a:rPr>
            <a:t>37,851</a:t>
          </a:r>
          <a:endParaRPr lang="en-IN" sz="1050">
            <a:solidFill>
              <a:schemeClr val="tx1"/>
            </a:solidFill>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121920</xdr:colOff>
      <xdr:row>10</xdr:row>
      <xdr:rowOff>45720</xdr:rowOff>
    </xdr:from>
    <xdr:to>
      <xdr:col>6</xdr:col>
      <xdr:colOff>289560</xdr:colOff>
      <xdr:row>25</xdr:row>
      <xdr:rowOff>45720</xdr:rowOff>
    </xdr:to>
    <xdr:graphicFrame macro="">
      <xdr:nvGraphicFramePr>
        <xdr:cNvPr id="2" name="Chart 1">
          <a:extLst>
            <a:ext uri="{FF2B5EF4-FFF2-40B4-BE49-F238E27FC236}">
              <a16:creationId xmlns:a16="http://schemas.microsoft.com/office/drawing/2014/main" id="{56C3B87E-7E74-F990-3D98-CBC6D58A6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556260</xdr:colOff>
      <xdr:row>7</xdr:row>
      <xdr:rowOff>83820</xdr:rowOff>
    </xdr:from>
    <xdr:to>
      <xdr:col>15</xdr:col>
      <xdr:colOff>487680</xdr:colOff>
      <xdr:row>22</xdr:row>
      <xdr:rowOff>83820</xdr:rowOff>
    </xdr:to>
    <xdr:graphicFrame macro="">
      <xdr:nvGraphicFramePr>
        <xdr:cNvPr id="3" name="Chart 2">
          <a:extLst>
            <a:ext uri="{FF2B5EF4-FFF2-40B4-BE49-F238E27FC236}">
              <a16:creationId xmlns:a16="http://schemas.microsoft.com/office/drawing/2014/main" id="{277E28BB-AF1F-1300-84D3-CB13FCEF1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548640</xdr:colOff>
      <xdr:row>47</xdr:row>
      <xdr:rowOff>15240</xdr:rowOff>
    </xdr:from>
    <xdr:to>
      <xdr:col>9</xdr:col>
      <xdr:colOff>594360</xdr:colOff>
      <xdr:row>62</xdr:row>
      <xdr:rowOff>15240</xdr:rowOff>
    </xdr:to>
    <xdr:graphicFrame macro="">
      <xdr:nvGraphicFramePr>
        <xdr:cNvPr id="4" name="Chart 3">
          <a:extLst>
            <a:ext uri="{FF2B5EF4-FFF2-40B4-BE49-F238E27FC236}">
              <a16:creationId xmlns:a16="http://schemas.microsoft.com/office/drawing/2014/main" id="{9597EAFF-6BCA-DAC3-D0C7-3741F45F1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320040</xdr:colOff>
      <xdr:row>29</xdr:row>
      <xdr:rowOff>53340</xdr:rowOff>
    </xdr:from>
    <xdr:to>
      <xdr:col>13</xdr:col>
      <xdr:colOff>320040</xdr:colOff>
      <xdr:row>42</xdr:row>
      <xdr:rowOff>142875</xdr:rowOff>
    </xdr:to>
    <mc:AlternateContent xmlns:mc="http://schemas.openxmlformats.org/markup-compatibility/2006" xmlns:a14="http://schemas.microsoft.com/office/drawing/2010/main">
      <mc:Choice Requires="a14">
        <xdr:graphicFrame macro="">
          <xdr:nvGraphicFramePr>
            <xdr:cNvPr id="5" name="year 8">
              <a:extLst>
                <a:ext uri="{FF2B5EF4-FFF2-40B4-BE49-F238E27FC236}">
                  <a16:creationId xmlns:a16="http://schemas.microsoft.com/office/drawing/2014/main" id="{4A6A6953-9FB0-52CF-5EBC-1E3005D87A02}"/>
                </a:ext>
              </a:extLst>
            </xdr:cNvPr>
            <xdr:cNvGraphicFramePr/>
          </xdr:nvGraphicFramePr>
          <xdr:xfrm>
            <a:off x="0" y="0"/>
            <a:ext cx="0" cy="0"/>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8412480" y="5356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838200</xdr:colOff>
      <xdr:row>8</xdr:row>
      <xdr:rowOff>45720</xdr:rowOff>
    </xdr:from>
    <xdr:to>
      <xdr:col>8</xdr:col>
      <xdr:colOff>83820</xdr:colOff>
      <xdr:row>21</xdr:row>
      <xdr:rowOff>135255</xdr:rowOff>
    </xdr:to>
    <mc:AlternateContent xmlns:mc="http://schemas.openxmlformats.org/markup-compatibility/2006" xmlns:a14="http://schemas.microsoft.com/office/drawing/2010/main">
      <mc:Choice Requires="a14">
        <xdr:graphicFrame macro="">
          <xdr:nvGraphicFramePr>
            <xdr:cNvPr id="6" name="Year  10">
              <a:extLst>
                <a:ext uri="{FF2B5EF4-FFF2-40B4-BE49-F238E27FC236}">
                  <a16:creationId xmlns:a16="http://schemas.microsoft.com/office/drawing/2014/main" id="{F22A73D3-1845-EF7E-367C-0C4C09C7AAE4}"/>
                </a:ext>
              </a:extLst>
            </xdr:cNvPr>
            <xdr:cNvGraphicFramePr/>
          </xdr:nvGraphicFramePr>
          <xdr:xfrm>
            <a:off x="0" y="0"/>
            <a:ext cx="0" cy="0"/>
          </xdr:xfrm>
          <a:graphic>
            <a:graphicData uri="http://schemas.microsoft.com/office/drawing/2010/slicer">
              <sle:slicer xmlns:sle="http://schemas.microsoft.com/office/drawing/2010/slicer" name="Year  10"/>
            </a:graphicData>
          </a:graphic>
        </xdr:graphicFrame>
      </mc:Choice>
      <mc:Fallback xmlns="">
        <xdr:sp macro="" textlink="">
          <xdr:nvSpPr>
            <xdr:cNvPr id="0" name=""/>
            <xdr:cNvSpPr>
              <a:spLocks noTextEdit="1"/>
            </xdr:cNvSpPr>
          </xdr:nvSpPr>
          <xdr:spPr>
            <a:xfrm>
              <a:off x="463296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556260</xdr:colOff>
      <xdr:row>7</xdr:row>
      <xdr:rowOff>167640</xdr:rowOff>
    </xdr:from>
    <xdr:to>
      <xdr:col>13</xdr:col>
      <xdr:colOff>556260</xdr:colOff>
      <xdr:row>21</xdr:row>
      <xdr:rowOff>74295</xdr:rowOff>
    </xdr:to>
    <mc:AlternateContent xmlns:mc="http://schemas.openxmlformats.org/markup-compatibility/2006" xmlns:a14="http://schemas.microsoft.com/office/drawing/2010/main">
      <mc:Choice Requires="a14">
        <xdr:graphicFrame macro="">
          <xdr:nvGraphicFramePr>
            <xdr:cNvPr id="7" name="Month 10">
              <a:extLst>
                <a:ext uri="{FF2B5EF4-FFF2-40B4-BE49-F238E27FC236}">
                  <a16:creationId xmlns:a16="http://schemas.microsoft.com/office/drawing/2014/main" id="{585DF8F5-4AF4-2E2F-453C-EEAFF8292E1E}"/>
                </a:ext>
              </a:extLst>
            </xdr:cNvPr>
            <xdr:cNvGraphicFramePr/>
          </xdr:nvGraphicFramePr>
          <xdr:xfrm>
            <a:off x="0" y="0"/>
            <a:ext cx="0" cy="0"/>
          </xdr:xfrm>
          <a:graphic>
            <a:graphicData uri="http://schemas.microsoft.com/office/drawing/2010/slicer">
              <sle:slicer xmlns:sle="http://schemas.microsoft.com/office/drawing/2010/slicer" name="Month 10"/>
            </a:graphicData>
          </a:graphic>
        </xdr:graphicFrame>
      </mc:Choice>
      <mc:Fallback xmlns="">
        <xdr:sp macro="" textlink="">
          <xdr:nvSpPr>
            <xdr:cNvPr id="0" name=""/>
            <xdr:cNvSpPr>
              <a:spLocks noTextEdit="1"/>
            </xdr:cNvSpPr>
          </xdr:nvSpPr>
          <xdr:spPr>
            <a:xfrm>
              <a:off x="8648700" y="1447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xdr:row>
      <xdr:rowOff>0</xdr:rowOff>
    </xdr:from>
    <xdr:to>
      <xdr:col>21</xdr:col>
      <xdr:colOff>304800</xdr:colOff>
      <xdr:row>30</xdr:row>
      <xdr:rowOff>30480</xdr:rowOff>
    </xdr:to>
    <xdr:sp macro="" textlink="">
      <xdr:nvSpPr>
        <xdr:cNvPr id="2" name="Rectangle 1">
          <a:extLst>
            <a:ext uri="{FF2B5EF4-FFF2-40B4-BE49-F238E27FC236}">
              <a16:creationId xmlns:a16="http://schemas.microsoft.com/office/drawing/2014/main" id="{588CAB08-EAE4-49EF-AC8C-567C52DF6F0F}"/>
            </a:ext>
          </a:extLst>
        </xdr:cNvPr>
        <xdr:cNvSpPr/>
      </xdr:nvSpPr>
      <xdr:spPr>
        <a:xfrm>
          <a:off x="609600" y="182880"/>
          <a:ext cx="12496800" cy="533400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259080</xdr:colOff>
      <xdr:row>1</xdr:row>
      <xdr:rowOff>114300</xdr:rowOff>
    </xdr:from>
    <xdr:to>
      <xdr:col>21</xdr:col>
      <xdr:colOff>160020</xdr:colOff>
      <xdr:row>29</xdr:row>
      <xdr:rowOff>106680</xdr:rowOff>
    </xdr:to>
    <xdr:sp macro="" textlink="">
      <xdr:nvSpPr>
        <xdr:cNvPr id="3" name="Rectangle 2">
          <a:extLst>
            <a:ext uri="{FF2B5EF4-FFF2-40B4-BE49-F238E27FC236}">
              <a16:creationId xmlns:a16="http://schemas.microsoft.com/office/drawing/2014/main" id="{E05A1DA2-3ACC-4381-8798-7FC169BD66B1}"/>
            </a:ext>
          </a:extLst>
        </xdr:cNvPr>
        <xdr:cNvSpPr/>
      </xdr:nvSpPr>
      <xdr:spPr>
        <a:xfrm>
          <a:off x="2087880" y="297180"/>
          <a:ext cx="10873740" cy="5113020"/>
        </a:xfrm>
        <a:prstGeom prst="rect">
          <a:avLst/>
        </a:prstGeom>
        <a:solidFill>
          <a:schemeClr val="tx2">
            <a:lumMod val="20000"/>
            <a:lumOff val="80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464820</xdr:colOff>
      <xdr:row>6</xdr:row>
      <xdr:rowOff>15241</xdr:rowOff>
    </xdr:from>
    <xdr:to>
      <xdr:col>5</xdr:col>
      <xdr:colOff>571500</xdr:colOff>
      <xdr:row>12</xdr:row>
      <xdr:rowOff>167640</xdr:rowOff>
    </xdr:to>
    <mc:AlternateContent xmlns:mc="http://schemas.openxmlformats.org/markup-compatibility/2006" xmlns:a14="http://schemas.microsoft.com/office/drawing/2010/main">
      <mc:Choice Requires="a14">
        <xdr:graphicFrame macro="">
          <xdr:nvGraphicFramePr>
            <xdr:cNvPr id="4" name="Year  11">
              <a:extLst>
                <a:ext uri="{FF2B5EF4-FFF2-40B4-BE49-F238E27FC236}">
                  <a16:creationId xmlns:a16="http://schemas.microsoft.com/office/drawing/2014/main" id="{225DB40D-595B-4EA2-9E41-FAF58FA98823}"/>
                </a:ext>
              </a:extLst>
            </xdr:cNvPr>
            <xdr:cNvGraphicFramePr/>
          </xdr:nvGraphicFramePr>
          <xdr:xfrm>
            <a:off x="0" y="0"/>
            <a:ext cx="0" cy="0"/>
          </xdr:xfrm>
          <a:graphic>
            <a:graphicData uri="http://schemas.microsoft.com/office/drawing/2010/slicer">
              <sle:slicer xmlns:sle="http://schemas.microsoft.com/office/drawing/2010/slicer" name="Year  11"/>
            </a:graphicData>
          </a:graphic>
        </xdr:graphicFrame>
      </mc:Choice>
      <mc:Fallback xmlns="">
        <xdr:sp macro="" textlink="">
          <xdr:nvSpPr>
            <xdr:cNvPr id="0" name=""/>
            <xdr:cNvSpPr>
              <a:spLocks noTextEdit="1"/>
            </xdr:cNvSpPr>
          </xdr:nvSpPr>
          <xdr:spPr>
            <a:xfrm>
              <a:off x="2293620" y="1112521"/>
              <a:ext cx="132588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464820</xdr:colOff>
      <xdr:row>13</xdr:row>
      <xdr:rowOff>15240</xdr:rowOff>
    </xdr:from>
    <xdr:to>
      <xdr:col>5</xdr:col>
      <xdr:colOff>579120</xdr:colOff>
      <xdr:row>29</xdr:row>
      <xdr:rowOff>22860</xdr:rowOff>
    </xdr:to>
    <mc:AlternateContent xmlns:mc="http://schemas.openxmlformats.org/markup-compatibility/2006" xmlns:a14="http://schemas.microsoft.com/office/drawing/2010/main">
      <mc:Choice Requires="a14">
        <xdr:graphicFrame macro="">
          <xdr:nvGraphicFramePr>
            <xdr:cNvPr id="5" name="Month 11">
              <a:extLst>
                <a:ext uri="{FF2B5EF4-FFF2-40B4-BE49-F238E27FC236}">
                  <a16:creationId xmlns:a16="http://schemas.microsoft.com/office/drawing/2014/main" id="{1C4CB299-51E8-4834-AC91-A09F5915394E}"/>
                </a:ext>
              </a:extLst>
            </xdr:cNvPr>
            <xdr:cNvGraphicFramePr/>
          </xdr:nvGraphicFramePr>
          <xdr:xfrm>
            <a:off x="0" y="0"/>
            <a:ext cx="0" cy="0"/>
          </xdr:xfrm>
          <a:graphic>
            <a:graphicData uri="http://schemas.microsoft.com/office/drawing/2010/slicer">
              <sle:slicer xmlns:sle="http://schemas.microsoft.com/office/drawing/2010/slicer" name="Month 11"/>
            </a:graphicData>
          </a:graphic>
        </xdr:graphicFrame>
      </mc:Choice>
      <mc:Fallback xmlns="">
        <xdr:sp macro="" textlink="">
          <xdr:nvSpPr>
            <xdr:cNvPr id="0" name=""/>
            <xdr:cNvSpPr>
              <a:spLocks noTextEdit="1"/>
            </xdr:cNvSpPr>
          </xdr:nvSpPr>
          <xdr:spPr>
            <a:xfrm>
              <a:off x="2293620" y="2392680"/>
              <a:ext cx="1333500"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373380</xdr:colOff>
      <xdr:row>2</xdr:row>
      <xdr:rowOff>45720</xdr:rowOff>
    </xdr:from>
    <xdr:to>
      <xdr:col>6</xdr:col>
      <xdr:colOff>175260</xdr:colOff>
      <xdr:row>5</xdr:row>
      <xdr:rowOff>91440</xdr:rowOff>
    </xdr:to>
    <xdr:sp macro="" textlink="">
      <xdr:nvSpPr>
        <xdr:cNvPr id="6" name="Rectangle: Rounded Corners 5">
          <a:extLst>
            <a:ext uri="{FF2B5EF4-FFF2-40B4-BE49-F238E27FC236}">
              <a16:creationId xmlns:a16="http://schemas.microsoft.com/office/drawing/2014/main" id="{7C2D2FED-0A99-48DC-B371-466E4681E7D9}"/>
            </a:ext>
          </a:extLst>
        </xdr:cNvPr>
        <xdr:cNvSpPr/>
      </xdr:nvSpPr>
      <xdr:spPr>
        <a:xfrm>
          <a:off x="2202180" y="411480"/>
          <a:ext cx="163068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Dental</a:t>
          </a:r>
        </a:p>
        <a:p>
          <a:pPr algn="ctr"/>
          <a:r>
            <a:rPr lang="en-IN" sz="1400" b="1"/>
            <a:t> </a:t>
          </a:r>
          <a:r>
            <a:rPr lang="en-IN" sz="1400" b="1" baseline="0"/>
            <a:t>Patient Analysis</a:t>
          </a:r>
          <a:endParaRPr lang="en-IN" sz="1050" b="1"/>
        </a:p>
      </xdr:txBody>
    </xdr:sp>
    <xdr:clientData/>
  </xdr:twoCellAnchor>
  <xdr:twoCellAnchor>
    <xdr:from>
      <xdr:col>7</xdr:col>
      <xdr:colOff>289560</xdr:colOff>
      <xdr:row>2</xdr:row>
      <xdr:rowOff>99060</xdr:rowOff>
    </xdr:from>
    <xdr:to>
      <xdr:col>8</xdr:col>
      <xdr:colOff>495300</xdr:colOff>
      <xdr:row>5</xdr:row>
      <xdr:rowOff>65384</xdr:rowOff>
    </xdr:to>
    <xdr:sp macro="" textlink="">
      <xdr:nvSpPr>
        <xdr:cNvPr id="7" name="Rectangle: Rounded Corners 6">
          <a:extLst>
            <a:ext uri="{FF2B5EF4-FFF2-40B4-BE49-F238E27FC236}">
              <a16:creationId xmlns:a16="http://schemas.microsoft.com/office/drawing/2014/main" id="{DBA05E0C-B0AB-4774-AE79-984192DEBB8F}"/>
            </a:ext>
          </a:extLst>
        </xdr:cNvPr>
        <xdr:cNvSpPr/>
      </xdr:nvSpPr>
      <xdr:spPr>
        <a:xfrm>
          <a:off x="4556760" y="46482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487680</xdr:colOff>
      <xdr:row>2</xdr:row>
      <xdr:rowOff>99060</xdr:rowOff>
    </xdr:from>
    <xdr:to>
      <xdr:col>9</xdr:col>
      <xdr:colOff>335280</xdr:colOff>
      <xdr:row>5</xdr:row>
      <xdr:rowOff>73004</xdr:rowOff>
    </xdr:to>
    <xdr:sp macro="" textlink="">
      <xdr:nvSpPr>
        <xdr:cNvPr id="8" name="Rectangle: Rounded Corners 7">
          <a:extLst>
            <a:ext uri="{FF2B5EF4-FFF2-40B4-BE49-F238E27FC236}">
              <a16:creationId xmlns:a16="http://schemas.microsoft.com/office/drawing/2014/main" id="{026C104D-1F56-4541-AE2B-1412E8D46195}"/>
            </a:ext>
          </a:extLst>
        </xdr:cNvPr>
        <xdr:cNvSpPr/>
      </xdr:nvSpPr>
      <xdr:spPr>
        <a:xfrm>
          <a:off x="4754880" y="464820"/>
          <a:ext cx="106680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baseline="0">
              <a:solidFill>
                <a:schemeClr val="tx1"/>
              </a:solidFill>
            </a:rPr>
            <a:t>Total 2021-26</a:t>
          </a:r>
        </a:p>
      </xdr:txBody>
    </xdr:sp>
    <xdr:clientData/>
  </xdr:twoCellAnchor>
  <xdr:twoCellAnchor>
    <xdr:from>
      <xdr:col>11</xdr:col>
      <xdr:colOff>259080</xdr:colOff>
      <xdr:row>2</xdr:row>
      <xdr:rowOff>99060</xdr:rowOff>
    </xdr:from>
    <xdr:to>
      <xdr:col>12</xdr:col>
      <xdr:colOff>464820</xdr:colOff>
      <xdr:row>5</xdr:row>
      <xdr:rowOff>65384</xdr:rowOff>
    </xdr:to>
    <xdr:sp macro="" textlink="">
      <xdr:nvSpPr>
        <xdr:cNvPr id="10" name="Rectangle: Rounded Corners 9">
          <a:extLst>
            <a:ext uri="{FF2B5EF4-FFF2-40B4-BE49-F238E27FC236}">
              <a16:creationId xmlns:a16="http://schemas.microsoft.com/office/drawing/2014/main" id="{1183C017-EAAD-85E8-0274-526F5D72B226}"/>
            </a:ext>
          </a:extLst>
        </xdr:cNvPr>
        <xdr:cNvSpPr/>
      </xdr:nvSpPr>
      <xdr:spPr>
        <a:xfrm>
          <a:off x="6964680" y="46482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457200</xdr:colOff>
      <xdr:row>2</xdr:row>
      <xdr:rowOff>99060</xdr:rowOff>
    </xdr:from>
    <xdr:to>
      <xdr:col>13</xdr:col>
      <xdr:colOff>304800</xdr:colOff>
      <xdr:row>5</xdr:row>
      <xdr:rowOff>73004</xdr:rowOff>
    </xdr:to>
    <xdr:sp macro="" textlink="">
      <xdr:nvSpPr>
        <xdr:cNvPr id="11" name="Rectangle: Rounded Corners 10">
          <a:extLst>
            <a:ext uri="{FF2B5EF4-FFF2-40B4-BE49-F238E27FC236}">
              <a16:creationId xmlns:a16="http://schemas.microsoft.com/office/drawing/2014/main" id="{1A29368C-2EE9-D55E-B211-9A730C8EEBA8}"/>
            </a:ext>
          </a:extLst>
        </xdr:cNvPr>
        <xdr:cNvSpPr/>
      </xdr:nvSpPr>
      <xdr:spPr>
        <a:xfrm>
          <a:off x="7162800" y="464820"/>
          <a:ext cx="106680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baseline="0">
              <a:solidFill>
                <a:schemeClr val="tx1"/>
              </a:solidFill>
            </a:rPr>
            <a:t>KJSS 2021-26</a:t>
          </a:r>
        </a:p>
      </xdr:txBody>
    </xdr:sp>
    <xdr:clientData/>
  </xdr:twoCellAnchor>
  <xdr:twoCellAnchor>
    <xdr:from>
      <xdr:col>12</xdr:col>
      <xdr:colOff>0</xdr:colOff>
      <xdr:row>4</xdr:row>
      <xdr:rowOff>0</xdr:rowOff>
    </xdr:from>
    <xdr:to>
      <xdr:col>13</xdr:col>
      <xdr:colOff>91440</xdr:colOff>
      <xdr:row>4</xdr:row>
      <xdr:rowOff>129540</xdr:rowOff>
    </xdr:to>
    <xdr:sp macro="" textlink="">
      <xdr:nvSpPr>
        <xdr:cNvPr id="12" name="Rectangle 11">
          <a:extLst>
            <a:ext uri="{FF2B5EF4-FFF2-40B4-BE49-F238E27FC236}">
              <a16:creationId xmlns:a16="http://schemas.microsoft.com/office/drawing/2014/main" id="{31D7F82C-2BB5-2322-4EBA-215151811932}"/>
            </a:ext>
          </a:extLst>
        </xdr:cNvPr>
        <xdr:cNvSpPr/>
      </xdr:nvSpPr>
      <xdr:spPr>
        <a:xfrm>
          <a:off x="7315200" y="731520"/>
          <a:ext cx="701040" cy="1295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solidFill>
                <a:sysClr val="windowText" lastClr="000000"/>
              </a:solidFill>
              <a:effectLst/>
            </a:rPr>
            <a:t>3,688</a:t>
          </a:r>
        </a:p>
      </xdr:txBody>
    </xdr:sp>
    <xdr:clientData/>
  </xdr:twoCellAnchor>
  <xdr:twoCellAnchor>
    <xdr:from>
      <xdr:col>15</xdr:col>
      <xdr:colOff>121920</xdr:colOff>
      <xdr:row>2</xdr:row>
      <xdr:rowOff>99060</xdr:rowOff>
    </xdr:from>
    <xdr:to>
      <xdr:col>16</xdr:col>
      <xdr:colOff>327660</xdr:colOff>
      <xdr:row>5</xdr:row>
      <xdr:rowOff>65384</xdr:rowOff>
    </xdr:to>
    <xdr:sp macro="" textlink="">
      <xdr:nvSpPr>
        <xdr:cNvPr id="13" name="Rectangle: Rounded Corners 12">
          <a:extLst>
            <a:ext uri="{FF2B5EF4-FFF2-40B4-BE49-F238E27FC236}">
              <a16:creationId xmlns:a16="http://schemas.microsoft.com/office/drawing/2014/main" id="{63788BF4-632E-B497-F1C7-83C5C587D604}"/>
            </a:ext>
          </a:extLst>
        </xdr:cNvPr>
        <xdr:cNvSpPr/>
      </xdr:nvSpPr>
      <xdr:spPr>
        <a:xfrm>
          <a:off x="9265920" y="46482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320040</xdr:colOff>
      <xdr:row>2</xdr:row>
      <xdr:rowOff>99060</xdr:rowOff>
    </xdr:from>
    <xdr:to>
      <xdr:col>17</xdr:col>
      <xdr:colOff>358140</xdr:colOff>
      <xdr:row>5</xdr:row>
      <xdr:rowOff>73004</xdr:rowOff>
    </xdr:to>
    <xdr:sp macro="" textlink="">
      <xdr:nvSpPr>
        <xdr:cNvPr id="14" name="Rectangle: Rounded Corners 13">
          <a:extLst>
            <a:ext uri="{FF2B5EF4-FFF2-40B4-BE49-F238E27FC236}">
              <a16:creationId xmlns:a16="http://schemas.microsoft.com/office/drawing/2014/main" id="{ABF4B7D5-352C-66DD-F659-52CB5C086A32}"/>
            </a:ext>
          </a:extLst>
        </xdr:cNvPr>
        <xdr:cNvSpPr/>
      </xdr:nvSpPr>
      <xdr:spPr>
        <a:xfrm>
          <a:off x="9464040" y="464820"/>
          <a:ext cx="125730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baseline="0">
              <a:solidFill>
                <a:schemeClr val="tx1"/>
              </a:solidFill>
            </a:rPr>
            <a:t>NON KJSS 2021-26</a:t>
          </a:r>
        </a:p>
      </xdr:txBody>
    </xdr:sp>
    <xdr:clientData/>
  </xdr:twoCellAnchor>
  <xdr:twoCellAnchor>
    <xdr:from>
      <xdr:col>15</xdr:col>
      <xdr:colOff>579120</xdr:colOff>
      <xdr:row>4</xdr:row>
      <xdr:rowOff>7620</xdr:rowOff>
    </xdr:from>
    <xdr:to>
      <xdr:col>17</xdr:col>
      <xdr:colOff>60960</xdr:colOff>
      <xdr:row>4</xdr:row>
      <xdr:rowOff>137160</xdr:rowOff>
    </xdr:to>
    <xdr:sp macro="" textlink="">
      <xdr:nvSpPr>
        <xdr:cNvPr id="15" name="Rectangle 14">
          <a:extLst>
            <a:ext uri="{FF2B5EF4-FFF2-40B4-BE49-F238E27FC236}">
              <a16:creationId xmlns:a16="http://schemas.microsoft.com/office/drawing/2014/main" id="{6D0E9BCD-B257-6C19-43FA-51D6E0D71323}"/>
            </a:ext>
          </a:extLst>
        </xdr:cNvPr>
        <xdr:cNvSpPr/>
      </xdr:nvSpPr>
      <xdr:spPr>
        <a:xfrm>
          <a:off x="9723120" y="739140"/>
          <a:ext cx="701040" cy="1295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solidFill>
                <a:sysClr val="windowText" lastClr="000000"/>
              </a:solidFill>
              <a:effectLst/>
            </a:rPr>
            <a:t>20,985</a:t>
          </a:r>
        </a:p>
      </xdr:txBody>
    </xdr:sp>
    <xdr:clientData/>
  </xdr:twoCellAnchor>
  <xdr:twoCellAnchor>
    <xdr:from>
      <xdr:col>6</xdr:col>
      <xdr:colOff>381000</xdr:colOff>
      <xdr:row>6</xdr:row>
      <xdr:rowOff>83820</xdr:rowOff>
    </xdr:from>
    <xdr:to>
      <xdr:col>14</xdr:col>
      <xdr:colOff>443400</xdr:colOff>
      <xdr:row>16</xdr:row>
      <xdr:rowOff>29820</xdr:rowOff>
    </xdr:to>
    <xdr:graphicFrame macro="">
      <xdr:nvGraphicFramePr>
        <xdr:cNvPr id="16" name="Chart 15">
          <a:extLst>
            <a:ext uri="{FF2B5EF4-FFF2-40B4-BE49-F238E27FC236}">
              <a16:creationId xmlns:a16="http://schemas.microsoft.com/office/drawing/2014/main" id="{8B60B106-4EAE-4B87-9874-98792824A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403860</xdr:colOff>
      <xdr:row>16</xdr:row>
      <xdr:rowOff>160020</xdr:rowOff>
    </xdr:from>
    <xdr:to>
      <xdr:col>20</xdr:col>
      <xdr:colOff>579120</xdr:colOff>
      <xdr:row>28</xdr:row>
      <xdr:rowOff>129060</xdr:rowOff>
    </xdr:to>
    <xdr:graphicFrame macro="">
      <xdr:nvGraphicFramePr>
        <xdr:cNvPr id="17" name="Chart 16">
          <a:extLst>
            <a:ext uri="{FF2B5EF4-FFF2-40B4-BE49-F238E27FC236}">
              <a16:creationId xmlns:a16="http://schemas.microsoft.com/office/drawing/2014/main" id="{4F5B1C3D-0025-458D-AE8E-61EF6B500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533400</xdr:colOff>
      <xdr:row>8</xdr:row>
      <xdr:rowOff>0</xdr:rowOff>
    </xdr:from>
    <xdr:to>
      <xdr:col>20</xdr:col>
      <xdr:colOff>565800</xdr:colOff>
      <xdr:row>16</xdr:row>
      <xdr:rowOff>23760</xdr:rowOff>
    </xdr:to>
    <xdr:graphicFrame macro="">
      <xdr:nvGraphicFramePr>
        <xdr:cNvPr id="18" name="Chart 17">
          <a:extLst>
            <a:ext uri="{FF2B5EF4-FFF2-40B4-BE49-F238E27FC236}">
              <a16:creationId xmlns:a16="http://schemas.microsoft.com/office/drawing/2014/main" id="{C32FE9E0-6EF6-4377-9028-61C107AC2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525780</xdr:colOff>
      <xdr:row>6</xdr:row>
      <xdr:rowOff>45720</xdr:rowOff>
    </xdr:from>
    <xdr:to>
      <xdr:col>20</xdr:col>
      <xdr:colOff>556260</xdr:colOff>
      <xdr:row>9</xdr:row>
      <xdr:rowOff>123480</xdr:rowOff>
    </xdr:to>
    <mc:AlternateContent xmlns:mc="http://schemas.openxmlformats.org/markup-compatibility/2006" xmlns:a14="http://schemas.microsoft.com/office/drawing/2010/main">
      <mc:Choice Requires="a14">
        <xdr:graphicFrame macro="">
          <xdr:nvGraphicFramePr>
            <xdr:cNvPr id="19" name="year 9">
              <a:extLst>
                <a:ext uri="{FF2B5EF4-FFF2-40B4-BE49-F238E27FC236}">
                  <a16:creationId xmlns:a16="http://schemas.microsoft.com/office/drawing/2014/main" id="{A64C183D-7BB1-4583-BE16-B0AFACAB23F9}"/>
                </a:ext>
              </a:extLst>
            </xdr:cNvPr>
            <xdr:cNvGraphicFramePr/>
          </xdr:nvGraphicFramePr>
          <xdr:xfrm>
            <a:off x="0" y="0"/>
            <a:ext cx="0" cy="0"/>
          </xdr:xfrm>
          <a:graphic>
            <a:graphicData uri="http://schemas.microsoft.com/office/drawing/2010/slicer">
              <sle:slicer xmlns:sle="http://schemas.microsoft.com/office/drawing/2010/slicer" name="year 9"/>
            </a:graphicData>
          </a:graphic>
        </xdr:graphicFrame>
      </mc:Choice>
      <mc:Fallback xmlns="">
        <xdr:sp macro="" textlink="">
          <xdr:nvSpPr>
            <xdr:cNvPr id="0" name=""/>
            <xdr:cNvSpPr>
              <a:spLocks noTextEdit="1"/>
            </xdr:cNvSpPr>
          </xdr:nvSpPr>
          <xdr:spPr>
            <a:xfrm>
              <a:off x="9060180" y="1143000"/>
              <a:ext cx="3688080" cy="62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137160</xdr:colOff>
      <xdr:row>6</xdr:row>
      <xdr:rowOff>7620</xdr:rowOff>
    </xdr:from>
    <xdr:to>
      <xdr:col>3</xdr:col>
      <xdr:colOff>137160</xdr:colOff>
      <xdr:row>8</xdr:row>
      <xdr:rowOff>7620</xdr:rowOff>
    </xdr:to>
    <xdr:sp macro="" textlink="">
      <xdr:nvSpPr>
        <xdr:cNvPr id="20" name="Rectangle: Rounded Corners 19">
          <a:hlinkClick xmlns:r="http://schemas.openxmlformats.org/officeDocument/2006/relationships" r:id="rId4"/>
          <a:extLst>
            <a:ext uri="{FF2B5EF4-FFF2-40B4-BE49-F238E27FC236}">
              <a16:creationId xmlns:a16="http://schemas.microsoft.com/office/drawing/2014/main" id="{896A42F8-7F57-4DC6-8C0B-253C002C26D4}"/>
            </a:ext>
          </a:extLst>
        </xdr:cNvPr>
        <xdr:cNvSpPr/>
      </xdr:nvSpPr>
      <xdr:spPr>
        <a:xfrm>
          <a:off x="746760" y="110490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Sonography</a:t>
          </a:r>
        </a:p>
      </xdr:txBody>
    </xdr:sp>
    <xdr:clientData/>
  </xdr:twoCellAnchor>
  <xdr:twoCellAnchor>
    <xdr:from>
      <xdr:col>1</xdr:col>
      <xdr:colOff>129540</xdr:colOff>
      <xdr:row>9</xdr:row>
      <xdr:rowOff>175260</xdr:rowOff>
    </xdr:from>
    <xdr:to>
      <xdr:col>3</xdr:col>
      <xdr:colOff>129540</xdr:colOff>
      <xdr:row>11</xdr:row>
      <xdr:rowOff>175260</xdr:rowOff>
    </xdr:to>
    <xdr:sp macro="" textlink="">
      <xdr:nvSpPr>
        <xdr:cNvPr id="21" name="Rectangle: Rounded Corners 20">
          <a:hlinkClick xmlns:r="http://schemas.openxmlformats.org/officeDocument/2006/relationships" r:id="rId5"/>
          <a:extLst>
            <a:ext uri="{FF2B5EF4-FFF2-40B4-BE49-F238E27FC236}">
              <a16:creationId xmlns:a16="http://schemas.microsoft.com/office/drawing/2014/main" id="{51B61AE3-946C-3C4B-EB24-E993540C941E}"/>
            </a:ext>
          </a:extLst>
        </xdr:cNvPr>
        <xdr:cNvSpPr/>
      </xdr:nvSpPr>
      <xdr:spPr>
        <a:xfrm>
          <a:off x="739140" y="182118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X-ray</a:t>
          </a:r>
        </a:p>
      </xdr:txBody>
    </xdr:sp>
    <xdr:clientData/>
  </xdr:twoCellAnchor>
  <xdr:twoCellAnchor>
    <xdr:from>
      <xdr:col>1</xdr:col>
      <xdr:colOff>152400</xdr:colOff>
      <xdr:row>14</xdr:row>
      <xdr:rowOff>30480</xdr:rowOff>
    </xdr:from>
    <xdr:to>
      <xdr:col>3</xdr:col>
      <xdr:colOff>152400</xdr:colOff>
      <xdr:row>16</xdr:row>
      <xdr:rowOff>30480</xdr:rowOff>
    </xdr:to>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9C094428-E4C4-4712-BCE4-A7A76253C78D}"/>
            </a:ext>
          </a:extLst>
        </xdr:cNvPr>
        <xdr:cNvSpPr/>
      </xdr:nvSpPr>
      <xdr:spPr>
        <a:xfrm>
          <a:off x="762000" y="2590800"/>
          <a:ext cx="1219200" cy="365760"/>
        </a:xfrm>
        <a:prstGeom prst="roundRect">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a:solidFill>
                <a:schemeClr val="tx1"/>
              </a:solidFill>
            </a:rPr>
            <a:t>Dental</a:t>
          </a:r>
        </a:p>
      </xdr:txBody>
    </xdr:sp>
    <xdr:clientData/>
  </xdr:twoCellAnchor>
  <xdr:twoCellAnchor>
    <xdr:from>
      <xdr:col>1</xdr:col>
      <xdr:colOff>144780</xdr:colOff>
      <xdr:row>18</xdr:row>
      <xdr:rowOff>91440</xdr:rowOff>
    </xdr:from>
    <xdr:to>
      <xdr:col>3</xdr:col>
      <xdr:colOff>144780</xdr:colOff>
      <xdr:row>20</xdr:row>
      <xdr:rowOff>91440</xdr:rowOff>
    </xdr:to>
    <xdr:sp macro="" textlink="">
      <xdr:nvSpPr>
        <xdr:cNvPr id="23" name="Rectangle: Rounded Corners 22">
          <a:hlinkClick xmlns:r="http://schemas.openxmlformats.org/officeDocument/2006/relationships" r:id="rId7"/>
          <a:extLst>
            <a:ext uri="{FF2B5EF4-FFF2-40B4-BE49-F238E27FC236}">
              <a16:creationId xmlns:a16="http://schemas.microsoft.com/office/drawing/2014/main" id="{63E7B865-5A1E-9756-20A5-04582729B3B5}"/>
            </a:ext>
          </a:extLst>
        </xdr:cNvPr>
        <xdr:cNvSpPr/>
      </xdr:nvSpPr>
      <xdr:spPr>
        <a:xfrm>
          <a:off x="754380" y="338328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BodyCheckup</a:t>
          </a:r>
        </a:p>
      </xdr:txBody>
    </xdr:sp>
    <xdr:clientData/>
  </xdr:twoCellAnchor>
  <xdr:twoCellAnchor>
    <xdr:from>
      <xdr:col>1</xdr:col>
      <xdr:colOff>137160</xdr:colOff>
      <xdr:row>22</xdr:row>
      <xdr:rowOff>121920</xdr:rowOff>
    </xdr:from>
    <xdr:to>
      <xdr:col>3</xdr:col>
      <xdr:colOff>137160</xdr:colOff>
      <xdr:row>24</xdr:row>
      <xdr:rowOff>121920</xdr:rowOff>
    </xdr:to>
    <xdr:sp macro="" textlink="">
      <xdr:nvSpPr>
        <xdr:cNvPr id="24" name="Rectangle: Rounded Corners 23">
          <a:hlinkClick xmlns:r="http://schemas.openxmlformats.org/officeDocument/2006/relationships" r:id="rId8"/>
          <a:extLst>
            <a:ext uri="{FF2B5EF4-FFF2-40B4-BE49-F238E27FC236}">
              <a16:creationId xmlns:a16="http://schemas.microsoft.com/office/drawing/2014/main" id="{16034C28-8DA5-BBBC-5B8E-4F82CDD1F9BB}"/>
            </a:ext>
          </a:extLst>
        </xdr:cNvPr>
        <xdr:cNvSpPr/>
      </xdr:nvSpPr>
      <xdr:spPr>
        <a:xfrm>
          <a:off x="746760" y="414528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Mamography</a:t>
          </a:r>
        </a:p>
      </xdr:txBody>
    </xdr:sp>
    <xdr:clientData/>
  </xdr:twoCellAnchor>
  <xdr:twoCellAnchor>
    <xdr:from>
      <xdr:col>7</xdr:col>
      <xdr:colOff>575426</xdr:colOff>
      <xdr:row>3</xdr:row>
      <xdr:rowOff>149244</xdr:rowOff>
    </xdr:from>
    <xdr:to>
      <xdr:col>9</xdr:col>
      <xdr:colOff>203066</xdr:colOff>
      <xdr:row>4</xdr:row>
      <xdr:rowOff>172728</xdr:rowOff>
    </xdr:to>
    <xdr:sp macro="" textlink="">
      <xdr:nvSpPr>
        <xdr:cNvPr id="25" name="Rectangle 24">
          <a:extLst>
            <a:ext uri="{FF2B5EF4-FFF2-40B4-BE49-F238E27FC236}">
              <a16:creationId xmlns:a16="http://schemas.microsoft.com/office/drawing/2014/main" id="{ED321706-9D73-489D-B4D3-753078722ED6}"/>
            </a:ext>
          </a:extLst>
        </xdr:cNvPr>
        <xdr:cNvSpPr/>
      </xdr:nvSpPr>
      <xdr:spPr>
        <a:xfrm>
          <a:off x="4831850" y="703426"/>
          <a:ext cx="843761" cy="2082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effectLst/>
            </a:rPr>
            <a:t>25,327</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175260</xdr:colOff>
      <xdr:row>10</xdr:row>
      <xdr:rowOff>91440</xdr:rowOff>
    </xdr:from>
    <xdr:to>
      <xdr:col>3</xdr:col>
      <xdr:colOff>7620</xdr:colOff>
      <xdr:row>21</xdr:row>
      <xdr:rowOff>106680</xdr:rowOff>
    </xdr:to>
    <xdr:graphicFrame macro="">
      <xdr:nvGraphicFramePr>
        <xdr:cNvPr id="3" name="Chart 2">
          <a:extLst>
            <a:ext uri="{FF2B5EF4-FFF2-40B4-BE49-F238E27FC236}">
              <a16:creationId xmlns:a16="http://schemas.microsoft.com/office/drawing/2014/main" id="{0D9A9237-4A4C-6D3C-ADDE-372558D47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548640</xdr:colOff>
      <xdr:row>22</xdr:row>
      <xdr:rowOff>22860</xdr:rowOff>
    </xdr:from>
    <xdr:to>
      <xdr:col>10</xdr:col>
      <xdr:colOff>190500</xdr:colOff>
      <xdr:row>37</xdr:row>
      <xdr:rowOff>22860</xdr:rowOff>
    </xdr:to>
    <xdr:graphicFrame macro="">
      <xdr:nvGraphicFramePr>
        <xdr:cNvPr id="4" name="Chart 3">
          <a:extLst>
            <a:ext uri="{FF2B5EF4-FFF2-40B4-BE49-F238E27FC236}">
              <a16:creationId xmlns:a16="http://schemas.microsoft.com/office/drawing/2014/main" id="{8C20C17A-20EF-E3F1-37F6-9B0CA7204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388620</xdr:colOff>
      <xdr:row>38</xdr:row>
      <xdr:rowOff>60960</xdr:rowOff>
    </xdr:from>
    <xdr:to>
      <xdr:col>13</xdr:col>
      <xdr:colOff>182880</xdr:colOff>
      <xdr:row>53</xdr:row>
      <xdr:rowOff>30480</xdr:rowOff>
    </xdr:to>
    <xdr:graphicFrame macro="">
      <xdr:nvGraphicFramePr>
        <xdr:cNvPr id="5" name="Chart 4">
          <a:extLst>
            <a:ext uri="{FF2B5EF4-FFF2-40B4-BE49-F238E27FC236}">
              <a16:creationId xmlns:a16="http://schemas.microsoft.com/office/drawing/2014/main" id="{CACC9748-AB5D-4E4C-FB54-35CD59BEC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868680</xdr:colOff>
      <xdr:row>3</xdr:row>
      <xdr:rowOff>45720</xdr:rowOff>
    </xdr:from>
    <xdr:to>
      <xdr:col>13</xdr:col>
      <xdr:colOff>0</xdr:colOff>
      <xdr:row>16</xdr:row>
      <xdr:rowOff>135255</xdr:rowOff>
    </xdr:to>
    <mc:AlternateContent xmlns:mc="http://schemas.openxmlformats.org/markup-compatibility/2006" xmlns:a14="http://schemas.microsoft.com/office/drawing/2010/main">
      <mc:Choice Requires="a14">
        <xdr:graphicFrame macro="">
          <xdr:nvGraphicFramePr>
            <xdr:cNvPr id="6" name="Year  2">
              <a:extLst>
                <a:ext uri="{FF2B5EF4-FFF2-40B4-BE49-F238E27FC236}">
                  <a16:creationId xmlns:a16="http://schemas.microsoft.com/office/drawing/2014/main" id="{776B4D29-0B67-75C9-1CA6-8554387B490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098280" y="594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502920</xdr:colOff>
      <xdr:row>3</xdr:row>
      <xdr:rowOff>167640</xdr:rowOff>
    </xdr:from>
    <xdr:to>
      <xdr:col>15</xdr:col>
      <xdr:colOff>502920</xdr:colOff>
      <xdr:row>17</xdr:row>
      <xdr:rowOff>74295</xdr:rowOff>
    </xdr:to>
    <mc:AlternateContent xmlns:mc="http://schemas.openxmlformats.org/markup-compatibility/2006" xmlns:a14="http://schemas.microsoft.com/office/drawing/2010/main">
      <mc:Choice Requires="a14">
        <xdr:graphicFrame macro="">
          <xdr:nvGraphicFramePr>
            <xdr:cNvPr id="7" name="Month 2">
              <a:extLst>
                <a:ext uri="{FF2B5EF4-FFF2-40B4-BE49-F238E27FC236}">
                  <a16:creationId xmlns:a16="http://schemas.microsoft.com/office/drawing/2014/main" id="{6970C96D-1AE8-FA3F-CD5B-84A61399E81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1186160" y="716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289560</xdr:colOff>
      <xdr:row>20</xdr:row>
      <xdr:rowOff>60960</xdr:rowOff>
    </xdr:from>
    <xdr:to>
      <xdr:col>19</xdr:col>
      <xdr:colOff>114300</xdr:colOff>
      <xdr:row>32</xdr:row>
      <xdr:rowOff>68580</xdr:rowOff>
    </xdr:to>
    <xdr:graphicFrame macro="">
      <xdr:nvGraphicFramePr>
        <xdr:cNvPr id="10" name="Chart 9">
          <a:extLst>
            <a:ext uri="{FF2B5EF4-FFF2-40B4-BE49-F238E27FC236}">
              <a16:creationId xmlns:a16="http://schemas.microsoft.com/office/drawing/2014/main" id="{FD13A6BA-B2EC-7D36-97A7-1ADDE9FB4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129540</xdr:colOff>
      <xdr:row>49</xdr:row>
      <xdr:rowOff>0</xdr:rowOff>
    </xdr:from>
    <xdr:to>
      <xdr:col>14</xdr:col>
      <xdr:colOff>99060</xdr:colOff>
      <xdr:row>64</xdr:row>
      <xdr:rowOff>0</xdr:rowOff>
    </xdr:to>
    <xdr:graphicFrame macro="">
      <xdr:nvGraphicFramePr>
        <xdr:cNvPr id="2" name="Chart 1">
          <a:extLst>
            <a:ext uri="{FF2B5EF4-FFF2-40B4-BE49-F238E27FC236}">
              <a16:creationId xmlns:a16="http://schemas.microsoft.com/office/drawing/2014/main" id="{5269A415-8B1D-34FA-6B65-C41ADD102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670560</xdr:colOff>
      <xdr:row>68</xdr:row>
      <xdr:rowOff>167640</xdr:rowOff>
    </xdr:from>
    <xdr:to>
      <xdr:col>10</xdr:col>
      <xdr:colOff>449580</xdr:colOff>
      <xdr:row>83</xdr:row>
      <xdr:rowOff>167640</xdr:rowOff>
    </xdr:to>
    <xdr:graphicFrame macro="">
      <xdr:nvGraphicFramePr>
        <xdr:cNvPr id="12" name="Chart 11">
          <a:extLst>
            <a:ext uri="{FF2B5EF4-FFF2-40B4-BE49-F238E27FC236}">
              <a16:creationId xmlns:a16="http://schemas.microsoft.com/office/drawing/2014/main" id="{D569E2FB-C644-5304-BF9E-E90D22019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312420</xdr:colOff>
      <xdr:row>61</xdr:row>
      <xdr:rowOff>7620</xdr:rowOff>
    </xdr:from>
    <xdr:to>
      <xdr:col>14</xdr:col>
      <xdr:colOff>312420</xdr:colOff>
      <xdr:row>74</xdr:row>
      <xdr:rowOff>97155</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9E1E583E-4CB1-8EE1-7398-53FD845508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098280" y="11163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99060</xdr:colOff>
      <xdr:row>1</xdr:row>
      <xdr:rowOff>0</xdr:rowOff>
    </xdr:from>
    <xdr:to>
      <xdr:col>21</xdr:col>
      <xdr:colOff>144780</xdr:colOff>
      <xdr:row>30</xdr:row>
      <xdr:rowOff>38100</xdr:rowOff>
    </xdr:to>
    <xdr:sp macro="" textlink="">
      <xdr:nvSpPr>
        <xdr:cNvPr id="2" name="Rectangle 1">
          <a:extLst>
            <a:ext uri="{FF2B5EF4-FFF2-40B4-BE49-F238E27FC236}">
              <a16:creationId xmlns:a16="http://schemas.microsoft.com/office/drawing/2014/main" id="{E352748B-EF42-8B27-C491-7131B190B0AC}"/>
            </a:ext>
          </a:extLst>
        </xdr:cNvPr>
        <xdr:cNvSpPr/>
      </xdr:nvSpPr>
      <xdr:spPr>
        <a:xfrm>
          <a:off x="708660" y="182880"/>
          <a:ext cx="12237720" cy="534162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342900</xdr:colOff>
      <xdr:row>1</xdr:row>
      <xdr:rowOff>129540</xdr:rowOff>
    </xdr:from>
    <xdr:to>
      <xdr:col>21</xdr:col>
      <xdr:colOff>0</xdr:colOff>
      <xdr:row>29</xdr:row>
      <xdr:rowOff>129540</xdr:rowOff>
    </xdr:to>
    <xdr:sp macro="" textlink="">
      <xdr:nvSpPr>
        <xdr:cNvPr id="3" name="Rectangle 2">
          <a:extLst>
            <a:ext uri="{FF2B5EF4-FFF2-40B4-BE49-F238E27FC236}">
              <a16:creationId xmlns:a16="http://schemas.microsoft.com/office/drawing/2014/main" id="{EF698199-DED8-C6C0-F904-15F8D74DC46F}"/>
            </a:ext>
          </a:extLst>
        </xdr:cNvPr>
        <xdr:cNvSpPr/>
      </xdr:nvSpPr>
      <xdr:spPr>
        <a:xfrm>
          <a:off x="2171700" y="312420"/>
          <a:ext cx="10629900" cy="5120640"/>
        </a:xfrm>
        <a:prstGeom prst="rect">
          <a:avLst/>
        </a:prstGeom>
        <a:solidFill>
          <a:schemeClr val="tx2">
            <a:lumMod val="20000"/>
            <a:lumOff val="80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563880</xdr:colOff>
      <xdr:row>6</xdr:row>
      <xdr:rowOff>68581</xdr:rowOff>
    </xdr:from>
    <xdr:to>
      <xdr:col>6</xdr:col>
      <xdr:colOff>68580</xdr:colOff>
      <xdr:row>13</xdr:row>
      <xdr:rowOff>30481</xdr:rowOff>
    </xdr:to>
    <mc:AlternateContent xmlns:mc="http://schemas.openxmlformats.org/markup-compatibility/2006" xmlns:a14="http://schemas.microsoft.com/office/drawing/2010/main">
      <mc:Choice Requires="a14">
        <xdr:graphicFrame macro="">
          <xdr:nvGraphicFramePr>
            <xdr:cNvPr id="4" name="Year  3">
              <a:extLst>
                <a:ext uri="{FF2B5EF4-FFF2-40B4-BE49-F238E27FC236}">
                  <a16:creationId xmlns:a16="http://schemas.microsoft.com/office/drawing/2014/main" id="{11A39585-B5BE-44F6-85A5-9368BA2D42D9}"/>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2392680" y="1165861"/>
              <a:ext cx="13335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556260</xdr:colOff>
      <xdr:row>13</xdr:row>
      <xdr:rowOff>76200</xdr:rowOff>
    </xdr:from>
    <xdr:to>
      <xdr:col>6</xdr:col>
      <xdr:colOff>59460</xdr:colOff>
      <xdr:row>29</xdr:row>
      <xdr:rowOff>83820</xdr:rowOff>
    </xdr:to>
    <mc:AlternateContent xmlns:mc="http://schemas.openxmlformats.org/markup-compatibility/2006" xmlns:a14="http://schemas.microsoft.com/office/drawing/2010/main">
      <mc:Choice Requires="a14">
        <xdr:graphicFrame macro="">
          <xdr:nvGraphicFramePr>
            <xdr:cNvPr id="5" name="Month 3">
              <a:extLst>
                <a:ext uri="{FF2B5EF4-FFF2-40B4-BE49-F238E27FC236}">
                  <a16:creationId xmlns:a16="http://schemas.microsoft.com/office/drawing/2014/main" id="{D898B745-53FE-4077-8628-8FC926A261A6}"/>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385060" y="2453640"/>
              <a:ext cx="1332000"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236220</xdr:colOff>
      <xdr:row>6</xdr:row>
      <xdr:rowOff>175260</xdr:rowOff>
    </xdr:from>
    <xdr:to>
      <xdr:col>14</xdr:col>
      <xdr:colOff>298620</xdr:colOff>
      <xdr:row>15</xdr:row>
      <xdr:rowOff>167640</xdr:rowOff>
    </xdr:to>
    <xdr:graphicFrame macro="">
      <xdr:nvGraphicFramePr>
        <xdr:cNvPr id="7" name="Chart 6">
          <a:extLst>
            <a:ext uri="{FF2B5EF4-FFF2-40B4-BE49-F238E27FC236}">
              <a16:creationId xmlns:a16="http://schemas.microsoft.com/office/drawing/2014/main" id="{152B6AAB-588A-4EE1-81BD-A88F78349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274320</xdr:colOff>
      <xdr:row>2</xdr:row>
      <xdr:rowOff>106681</xdr:rowOff>
    </xdr:from>
    <xdr:to>
      <xdr:col>8</xdr:col>
      <xdr:colOff>480060</xdr:colOff>
      <xdr:row>5</xdr:row>
      <xdr:rowOff>73005</xdr:rowOff>
    </xdr:to>
    <xdr:sp macro="" textlink="">
      <xdr:nvSpPr>
        <xdr:cNvPr id="10" name="Rectangle: Rounded Corners 9">
          <a:extLst>
            <a:ext uri="{FF2B5EF4-FFF2-40B4-BE49-F238E27FC236}">
              <a16:creationId xmlns:a16="http://schemas.microsoft.com/office/drawing/2014/main" id="{A009F0E2-A460-4D31-A5BE-262A9CFD8EDA}"/>
            </a:ext>
          </a:extLst>
        </xdr:cNvPr>
        <xdr:cNvSpPr/>
      </xdr:nvSpPr>
      <xdr:spPr>
        <a:xfrm>
          <a:off x="4541520" y="472441"/>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510540</xdr:colOff>
      <xdr:row>2</xdr:row>
      <xdr:rowOff>106680</xdr:rowOff>
    </xdr:from>
    <xdr:to>
      <xdr:col>9</xdr:col>
      <xdr:colOff>358140</xdr:colOff>
      <xdr:row>5</xdr:row>
      <xdr:rowOff>80624</xdr:rowOff>
    </xdr:to>
    <xdr:sp macro="" textlink="">
      <xdr:nvSpPr>
        <xdr:cNvPr id="11" name="Rectangle: Rounded Corners 10">
          <a:extLst>
            <a:ext uri="{FF2B5EF4-FFF2-40B4-BE49-F238E27FC236}">
              <a16:creationId xmlns:a16="http://schemas.microsoft.com/office/drawing/2014/main" id="{E2F6543B-4DE1-4EA1-8B01-1D32C53805E2}"/>
            </a:ext>
          </a:extLst>
        </xdr:cNvPr>
        <xdr:cNvSpPr/>
      </xdr:nvSpPr>
      <xdr:spPr>
        <a:xfrm>
          <a:off x="4777740" y="472440"/>
          <a:ext cx="106680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baseline="0">
              <a:solidFill>
                <a:sysClr val="windowText" lastClr="000000"/>
              </a:solidFill>
            </a:rPr>
            <a:t>Total 2021-26</a:t>
          </a:r>
        </a:p>
      </xdr:txBody>
    </xdr:sp>
    <xdr:clientData/>
  </xdr:twoCellAnchor>
  <xdr:twoCellAnchor>
    <xdr:from>
      <xdr:col>11</xdr:col>
      <xdr:colOff>137160</xdr:colOff>
      <xdr:row>2</xdr:row>
      <xdr:rowOff>106681</xdr:rowOff>
    </xdr:from>
    <xdr:to>
      <xdr:col>12</xdr:col>
      <xdr:colOff>342900</xdr:colOff>
      <xdr:row>5</xdr:row>
      <xdr:rowOff>73005</xdr:rowOff>
    </xdr:to>
    <xdr:sp macro="" textlink="">
      <xdr:nvSpPr>
        <xdr:cNvPr id="17" name="Rectangle: Rounded Corners 16">
          <a:extLst>
            <a:ext uri="{FF2B5EF4-FFF2-40B4-BE49-F238E27FC236}">
              <a16:creationId xmlns:a16="http://schemas.microsoft.com/office/drawing/2014/main" id="{1CA17A0B-9ACD-43E4-0A40-DE29052FAA61}"/>
            </a:ext>
          </a:extLst>
        </xdr:cNvPr>
        <xdr:cNvSpPr/>
      </xdr:nvSpPr>
      <xdr:spPr>
        <a:xfrm>
          <a:off x="6842760" y="472441"/>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342900</xdr:colOff>
      <xdr:row>2</xdr:row>
      <xdr:rowOff>106681</xdr:rowOff>
    </xdr:from>
    <xdr:to>
      <xdr:col>13</xdr:col>
      <xdr:colOff>190500</xdr:colOff>
      <xdr:row>5</xdr:row>
      <xdr:rowOff>80625</xdr:rowOff>
    </xdr:to>
    <xdr:sp macro="" textlink="">
      <xdr:nvSpPr>
        <xdr:cNvPr id="23" name="Rectangle: Rounded Corners 22">
          <a:extLst>
            <a:ext uri="{FF2B5EF4-FFF2-40B4-BE49-F238E27FC236}">
              <a16:creationId xmlns:a16="http://schemas.microsoft.com/office/drawing/2014/main" id="{F6AC0413-E790-6761-4049-C867CC206E4E}"/>
            </a:ext>
          </a:extLst>
        </xdr:cNvPr>
        <xdr:cNvSpPr/>
      </xdr:nvSpPr>
      <xdr:spPr>
        <a:xfrm>
          <a:off x="7048500" y="472441"/>
          <a:ext cx="106680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baseline="0">
              <a:solidFill>
                <a:sysClr val="windowText" lastClr="000000"/>
              </a:solidFill>
            </a:rPr>
            <a:t>KJSS 2021-26</a:t>
          </a:r>
        </a:p>
      </xdr:txBody>
    </xdr:sp>
    <xdr:clientData/>
  </xdr:twoCellAnchor>
  <xdr:twoCellAnchor>
    <xdr:from>
      <xdr:col>11</xdr:col>
      <xdr:colOff>464820</xdr:colOff>
      <xdr:row>4</xdr:row>
      <xdr:rowOff>38100</xdr:rowOff>
    </xdr:from>
    <xdr:to>
      <xdr:col>12</xdr:col>
      <xdr:colOff>556260</xdr:colOff>
      <xdr:row>4</xdr:row>
      <xdr:rowOff>167640</xdr:rowOff>
    </xdr:to>
    <xdr:sp macro="" textlink="">
      <xdr:nvSpPr>
        <xdr:cNvPr id="24" name="Rectangle 23">
          <a:extLst>
            <a:ext uri="{FF2B5EF4-FFF2-40B4-BE49-F238E27FC236}">
              <a16:creationId xmlns:a16="http://schemas.microsoft.com/office/drawing/2014/main" id="{9167BB9C-9A35-633A-85EE-19190EFE88C0}"/>
            </a:ext>
          </a:extLst>
        </xdr:cNvPr>
        <xdr:cNvSpPr/>
      </xdr:nvSpPr>
      <xdr:spPr>
        <a:xfrm>
          <a:off x="7170420" y="769620"/>
          <a:ext cx="701040" cy="1295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solidFill>
                <a:sysClr val="windowText" lastClr="000000"/>
              </a:solidFill>
              <a:effectLst/>
            </a:rPr>
            <a:t>2,696</a:t>
          </a:r>
        </a:p>
      </xdr:txBody>
    </xdr:sp>
    <xdr:clientData/>
  </xdr:twoCellAnchor>
  <xdr:twoCellAnchor>
    <xdr:from>
      <xdr:col>14</xdr:col>
      <xdr:colOff>495300</xdr:colOff>
      <xdr:row>2</xdr:row>
      <xdr:rowOff>114301</xdr:rowOff>
    </xdr:from>
    <xdr:to>
      <xdr:col>16</xdr:col>
      <xdr:colOff>91440</xdr:colOff>
      <xdr:row>5</xdr:row>
      <xdr:rowOff>80625</xdr:rowOff>
    </xdr:to>
    <xdr:sp macro="" textlink="">
      <xdr:nvSpPr>
        <xdr:cNvPr id="28" name="Rectangle: Rounded Corners 27">
          <a:extLst>
            <a:ext uri="{FF2B5EF4-FFF2-40B4-BE49-F238E27FC236}">
              <a16:creationId xmlns:a16="http://schemas.microsoft.com/office/drawing/2014/main" id="{E1B0D6BC-EDB6-426A-9D42-A7CA421E7FE0}"/>
            </a:ext>
          </a:extLst>
        </xdr:cNvPr>
        <xdr:cNvSpPr/>
      </xdr:nvSpPr>
      <xdr:spPr>
        <a:xfrm>
          <a:off x="9029700" y="480061"/>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114300</xdr:colOff>
      <xdr:row>2</xdr:row>
      <xdr:rowOff>114301</xdr:rowOff>
    </xdr:from>
    <xdr:to>
      <xdr:col>17</xdr:col>
      <xdr:colOff>119100</xdr:colOff>
      <xdr:row>5</xdr:row>
      <xdr:rowOff>88245</xdr:rowOff>
    </xdr:to>
    <xdr:sp macro="" textlink="">
      <xdr:nvSpPr>
        <xdr:cNvPr id="29" name="Rectangle: Rounded Corners 28">
          <a:extLst>
            <a:ext uri="{FF2B5EF4-FFF2-40B4-BE49-F238E27FC236}">
              <a16:creationId xmlns:a16="http://schemas.microsoft.com/office/drawing/2014/main" id="{D6EAC919-2FED-336F-D040-89741A7DE4D2}"/>
            </a:ext>
          </a:extLst>
        </xdr:cNvPr>
        <xdr:cNvSpPr/>
      </xdr:nvSpPr>
      <xdr:spPr>
        <a:xfrm>
          <a:off x="9258300" y="480061"/>
          <a:ext cx="122400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baseline="0">
              <a:solidFill>
                <a:sysClr val="windowText" lastClr="000000"/>
              </a:solidFill>
            </a:rPr>
            <a:t>Non KJSS 2021-26</a:t>
          </a:r>
        </a:p>
      </xdr:txBody>
    </xdr:sp>
    <xdr:clientData/>
  </xdr:twoCellAnchor>
  <xdr:twoCellAnchor>
    <xdr:from>
      <xdr:col>15</xdr:col>
      <xdr:colOff>365760</xdr:colOff>
      <xdr:row>4</xdr:row>
      <xdr:rowOff>60960</xdr:rowOff>
    </xdr:from>
    <xdr:to>
      <xdr:col>16</xdr:col>
      <xdr:colOff>457200</xdr:colOff>
      <xdr:row>5</xdr:row>
      <xdr:rowOff>7620</xdr:rowOff>
    </xdr:to>
    <xdr:sp macro="" textlink="">
      <xdr:nvSpPr>
        <xdr:cNvPr id="30" name="Rectangle 29">
          <a:extLst>
            <a:ext uri="{FF2B5EF4-FFF2-40B4-BE49-F238E27FC236}">
              <a16:creationId xmlns:a16="http://schemas.microsoft.com/office/drawing/2014/main" id="{14FE6192-7859-B16E-076C-9D2E5869C46F}"/>
            </a:ext>
          </a:extLst>
        </xdr:cNvPr>
        <xdr:cNvSpPr/>
      </xdr:nvSpPr>
      <xdr:spPr>
        <a:xfrm>
          <a:off x="9509760" y="792480"/>
          <a:ext cx="701040" cy="1295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solidFill>
                <a:sysClr val="windowText" lastClr="000000"/>
              </a:solidFill>
              <a:effectLst/>
            </a:rPr>
            <a:t>17,464</a:t>
          </a:r>
        </a:p>
      </xdr:txBody>
    </xdr:sp>
    <xdr:clientData/>
  </xdr:twoCellAnchor>
  <xdr:twoCellAnchor>
    <xdr:from>
      <xdr:col>6</xdr:col>
      <xdr:colOff>281940</xdr:colOff>
      <xdr:row>16</xdr:row>
      <xdr:rowOff>121920</xdr:rowOff>
    </xdr:from>
    <xdr:to>
      <xdr:col>20</xdr:col>
      <xdr:colOff>388620</xdr:colOff>
      <xdr:row>28</xdr:row>
      <xdr:rowOff>159360</xdr:rowOff>
    </xdr:to>
    <xdr:graphicFrame macro="">
      <xdr:nvGraphicFramePr>
        <xdr:cNvPr id="32" name="Chart 31">
          <a:extLst>
            <a:ext uri="{FF2B5EF4-FFF2-40B4-BE49-F238E27FC236}">
              <a16:creationId xmlns:a16="http://schemas.microsoft.com/office/drawing/2014/main" id="{4690C9D4-7C5B-434F-AF94-2851FB220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541020</xdr:colOff>
      <xdr:row>2</xdr:row>
      <xdr:rowOff>91440</xdr:rowOff>
    </xdr:from>
    <xdr:to>
      <xdr:col>6</xdr:col>
      <xdr:colOff>342900</xdr:colOff>
      <xdr:row>5</xdr:row>
      <xdr:rowOff>137160</xdr:rowOff>
    </xdr:to>
    <xdr:sp macro="" textlink="">
      <xdr:nvSpPr>
        <xdr:cNvPr id="34" name="Rectangle: Rounded Corners 33">
          <a:extLst>
            <a:ext uri="{FF2B5EF4-FFF2-40B4-BE49-F238E27FC236}">
              <a16:creationId xmlns:a16="http://schemas.microsoft.com/office/drawing/2014/main" id="{797FE7BC-F07C-74C2-06FE-1ECC2BBEE14A}"/>
            </a:ext>
          </a:extLst>
        </xdr:cNvPr>
        <xdr:cNvSpPr/>
      </xdr:nvSpPr>
      <xdr:spPr>
        <a:xfrm>
          <a:off x="2369820" y="457200"/>
          <a:ext cx="163068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Body</a:t>
          </a:r>
          <a:r>
            <a:rPr lang="en-IN" sz="1400" b="1" baseline="0"/>
            <a:t> Checkup Patient Analysis</a:t>
          </a:r>
          <a:endParaRPr lang="en-IN" sz="1050" b="1"/>
        </a:p>
      </xdr:txBody>
    </xdr:sp>
    <xdr:clientData/>
  </xdr:twoCellAnchor>
  <xdr:twoCellAnchor>
    <xdr:from>
      <xdr:col>14</xdr:col>
      <xdr:colOff>411480</xdr:colOff>
      <xdr:row>8</xdr:row>
      <xdr:rowOff>15240</xdr:rowOff>
    </xdr:from>
    <xdr:to>
      <xdr:col>20</xdr:col>
      <xdr:colOff>350520</xdr:colOff>
      <xdr:row>15</xdr:row>
      <xdr:rowOff>167640</xdr:rowOff>
    </xdr:to>
    <xdr:graphicFrame macro="">
      <xdr:nvGraphicFramePr>
        <xdr:cNvPr id="8" name="Chart 7">
          <a:extLst>
            <a:ext uri="{FF2B5EF4-FFF2-40B4-BE49-F238E27FC236}">
              <a16:creationId xmlns:a16="http://schemas.microsoft.com/office/drawing/2014/main" id="{854ED0A9-7806-4394-9097-F5239557E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403860</xdr:colOff>
      <xdr:row>6</xdr:row>
      <xdr:rowOff>91440</xdr:rowOff>
    </xdr:from>
    <xdr:to>
      <xdr:col>20</xdr:col>
      <xdr:colOff>335280</xdr:colOff>
      <xdr:row>9</xdr:row>
      <xdr:rowOff>152400</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F8E98D93-23F4-473C-BAC5-3BB053423F1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938260" y="1188720"/>
              <a:ext cx="358902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205740</xdr:colOff>
      <xdr:row>6</xdr:row>
      <xdr:rowOff>38100</xdr:rowOff>
    </xdr:from>
    <xdr:to>
      <xdr:col>3</xdr:col>
      <xdr:colOff>205740</xdr:colOff>
      <xdr:row>8</xdr:row>
      <xdr:rowOff>38100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6B681F44-EE16-47EC-BDF3-7ABF226A2CFB}"/>
            </a:ext>
          </a:extLst>
        </xdr:cNvPr>
        <xdr:cNvSpPr/>
      </xdr:nvSpPr>
      <xdr:spPr>
        <a:xfrm>
          <a:off x="815340" y="113538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Sonography</a:t>
          </a:r>
        </a:p>
      </xdr:txBody>
    </xdr:sp>
    <xdr:clientData/>
  </xdr:twoCellAnchor>
  <xdr:twoCellAnchor>
    <xdr:from>
      <xdr:col>1</xdr:col>
      <xdr:colOff>213360</xdr:colOff>
      <xdr:row>9</xdr:row>
      <xdr:rowOff>152400</xdr:rowOff>
    </xdr:from>
    <xdr:to>
      <xdr:col>3</xdr:col>
      <xdr:colOff>213360</xdr:colOff>
      <xdr:row>11</xdr:row>
      <xdr:rowOff>152400</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7FE6BDFA-EA0E-B98A-D595-E30D09A5768F}"/>
            </a:ext>
          </a:extLst>
        </xdr:cNvPr>
        <xdr:cNvSpPr/>
      </xdr:nvSpPr>
      <xdr:spPr>
        <a:xfrm>
          <a:off x="822960" y="179832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X-ray</a:t>
          </a:r>
        </a:p>
      </xdr:txBody>
    </xdr:sp>
    <xdr:clientData/>
  </xdr:twoCellAnchor>
  <xdr:twoCellAnchor>
    <xdr:from>
      <xdr:col>1</xdr:col>
      <xdr:colOff>205740</xdr:colOff>
      <xdr:row>13</xdr:row>
      <xdr:rowOff>137160</xdr:rowOff>
    </xdr:from>
    <xdr:to>
      <xdr:col>3</xdr:col>
      <xdr:colOff>205740</xdr:colOff>
      <xdr:row>15</xdr:row>
      <xdr:rowOff>137160</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45302529-E47C-2CCC-B7CC-27317E1D272D}"/>
            </a:ext>
          </a:extLst>
        </xdr:cNvPr>
        <xdr:cNvSpPr/>
      </xdr:nvSpPr>
      <xdr:spPr>
        <a:xfrm>
          <a:off x="815340" y="251460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Dental</a:t>
          </a:r>
        </a:p>
      </xdr:txBody>
    </xdr:sp>
    <xdr:clientData/>
  </xdr:twoCellAnchor>
  <xdr:twoCellAnchor>
    <xdr:from>
      <xdr:col>1</xdr:col>
      <xdr:colOff>228600</xdr:colOff>
      <xdr:row>17</xdr:row>
      <xdr:rowOff>144780</xdr:rowOff>
    </xdr:from>
    <xdr:to>
      <xdr:col>3</xdr:col>
      <xdr:colOff>228600</xdr:colOff>
      <xdr:row>19</xdr:row>
      <xdr:rowOff>144780</xdr:rowOff>
    </xdr:to>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BF1AD9A2-E75F-4289-ACB4-5275CD837389}"/>
            </a:ext>
          </a:extLst>
        </xdr:cNvPr>
        <xdr:cNvSpPr/>
      </xdr:nvSpPr>
      <xdr:spPr>
        <a:xfrm>
          <a:off x="838200" y="3253740"/>
          <a:ext cx="1219200" cy="365760"/>
        </a:xfrm>
        <a:prstGeom prst="roundRect">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a:solidFill>
                <a:schemeClr val="tx1"/>
              </a:solidFill>
            </a:rPr>
            <a:t>BodyCheckup</a:t>
          </a:r>
        </a:p>
      </xdr:txBody>
    </xdr:sp>
    <xdr:clientData/>
  </xdr:twoCellAnchor>
  <xdr:twoCellAnchor>
    <xdr:from>
      <xdr:col>1</xdr:col>
      <xdr:colOff>220980</xdr:colOff>
      <xdr:row>21</xdr:row>
      <xdr:rowOff>144780</xdr:rowOff>
    </xdr:from>
    <xdr:to>
      <xdr:col>3</xdr:col>
      <xdr:colOff>220980</xdr:colOff>
      <xdr:row>23</xdr:row>
      <xdr:rowOff>144780</xdr:rowOff>
    </xdr:to>
    <xdr:sp macro="" textlink="">
      <xdr:nvSpPr>
        <xdr:cNvPr id="16" name="Rectangle: Rounded Corners 15">
          <a:hlinkClick xmlns:r="http://schemas.openxmlformats.org/officeDocument/2006/relationships" r:id="rId8"/>
          <a:extLst>
            <a:ext uri="{FF2B5EF4-FFF2-40B4-BE49-F238E27FC236}">
              <a16:creationId xmlns:a16="http://schemas.microsoft.com/office/drawing/2014/main" id="{A33EF835-3324-A434-085C-DECA04724A17}"/>
            </a:ext>
          </a:extLst>
        </xdr:cNvPr>
        <xdr:cNvSpPr/>
      </xdr:nvSpPr>
      <xdr:spPr>
        <a:xfrm>
          <a:off x="830580" y="398526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Mamography</a:t>
          </a:r>
        </a:p>
      </xdr:txBody>
    </xdr:sp>
    <xdr:clientData/>
  </xdr:twoCellAnchor>
  <xdr:twoCellAnchor>
    <xdr:from>
      <xdr:col>8</xdr:col>
      <xdr:colOff>8374</xdr:colOff>
      <xdr:row>3</xdr:row>
      <xdr:rowOff>159100</xdr:rowOff>
    </xdr:from>
    <xdr:to>
      <xdr:col>9</xdr:col>
      <xdr:colOff>240860</xdr:colOff>
      <xdr:row>4</xdr:row>
      <xdr:rowOff>183091</xdr:rowOff>
    </xdr:to>
    <xdr:sp macro="" textlink="">
      <xdr:nvSpPr>
        <xdr:cNvPr id="18" name="Rectangle 17">
          <a:extLst>
            <a:ext uri="{FF2B5EF4-FFF2-40B4-BE49-F238E27FC236}">
              <a16:creationId xmlns:a16="http://schemas.microsoft.com/office/drawing/2014/main" id="{22C9403A-7F18-424A-BDC5-5CFAA57D372A}"/>
            </a:ext>
          </a:extLst>
        </xdr:cNvPr>
        <xdr:cNvSpPr/>
      </xdr:nvSpPr>
      <xdr:spPr>
        <a:xfrm>
          <a:off x="4898572" y="711759"/>
          <a:ext cx="843761" cy="2082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solidFill>
                <a:sysClr val="windowText" lastClr="000000"/>
              </a:solidFill>
              <a:effectLst/>
            </a:rPr>
            <a:t>20,160</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182880</xdr:colOff>
      <xdr:row>9</xdr:row>
      <xdr:rowOff>114300</xdr:rowOff>
    </xdr:from>
    <xdr:to>
      <xdr:col>4</xdr:col>
      <xdr:colOff>502920</xdr:colOff>
      <xdr:row>21</xdr:row>
      <xdr:rowOff>99060</xdr:rowOff>
    </xdr:to>
    <xdr:graphicFrame macro="">
      <xdr:nvGraphicFramePr>
        <xdr:cNvPr id="2" name="Chart 1">
          <a:extLst>
            <a:ext uri="{FF2B5EF4-FFF2-40B4-BE49-F238E27FC236}">
              <a16:creationId xmlns:a16="http://schemas.microsoft.com/office/drawing/2014/main" id="{7850ED9D-0397-39E6-D125-97801DD04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160020</xdr:colOff>
      <xdr:row>26</xdr:row>
      <xdr:rowOff>137160</xdr:rowOff>
    </xdr:from>
    <xdr:to>
      <xdr:col>19</xdr:col>
      <xdr:colOff>342900</xdr:colOff>
      <xdr:row>42</xdr:row>
      <xdr:rowOff>106680</xdr:rowOff>
    </xdr:to>
    <xdr:graphicFrame macro="">
      <xdr:nvGraphicFramePr>
        <xdr:cNvPr id="3" name="Chart 2">
          <a:extLst>
            <a:ext uri="{FF2B5EF4-FFF2-40B4-BE49-F238E27FC236}">
              <a16:creationId xmlns:a16="http://schemas.microsoft.com/office/drawing/2014/main" id="{706670BE-B828-96F1-43E2-CE9FC7C22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304800</xdr:colOff>
      <xdr:row>7</xdr:row>
      <xdr:rowOff>0</xdr:rowOff>
    </xdr:from>
    <xdr:to>
      <xdr:col>26</xdr:col>
      <xdr:colOff>304800</xdr:colOff>
      <xdr:row>25</xdr:row>
      <xdr:rowOff>175260</xdr:rowOff>
    </xdr:to>
    <xdr:graphicFrame macro="">
      <xdr:nvGraphicFramePr>
        <xdr:cNvPr id="4" name="Chart 3">
          <a:extLst>
            <a:ext uri="{FF2B5EF4-FFF2-40B4-BE49-F238E27FC236}">
              <a16:creationId xmlns:a16="http://schemas.microsoft.com/office/drawing/2014/main" id="{4557186A-C65D-7636-F755-6D67DEB24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137160</xdr:colOff>
      <xdr:row>6</xdr:row>
      <xdr:rowOff>167640</xdr:rowOff>
    </xdr:from>
    <xdr:to>
      <xdr:col>11</xdr:col>
      <xdr:colOff>266700</xdr:colOff>
      <xdr:row>20</xdr:row>
      <xdr:rowOff>74295</xdr:rowOff>
    </xdr:to>
    <mc:AlternateContent xmlns:mc="http://schemas.openxmlformats.org/markup-compatibility/2006" xmlns:a14="http://schemas.microsoft.com/office/drawing/2010/main">
      <mc:Choice Requires="a14">
        <xdr:graphicFrame macro="">
          <xdr:nvGraphicFramePr>
            <xdr:cNvPr id="5" name="Year  4">
              <a:extLst>
                <a:ext uri="{FF2B5EF4-FFF2-40B4-BE49-F238E27FC236}">
                  <a16:creationId xmlns:a16="http://schemas.microsoft.com/office/drawing/2014/main" id="{F8583511-C40C-DCA5-D71F-D2088DA49FCF}"/>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5981700" y="1264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617220</xdr:colOff>
      <xdr:row>9</xdr:row>
      <xdr:rowOff>99060</xdr:rowOff>
    </xdr:from>
    <xdr:to>
      <xdr:col>12</xdr:col>
      <xdr:colOff>411480</xdr:colOff>
      <xdr:row>23</xdr:row>
      <xdr:rowOff>5715</xdr:rowOff>
    </xdr:to>
    <mc:AlternateContent xmlns:mc="http://schemas.openxmlformats.org/markup-compatibility/2006" xmlns:a14="http://schemas.microsoft.com/office/drawing/2010/main">
      <mc:Choice Requires="a14">
        <xdr:graphicFrame macro="">
          <xdr:nvGraphicFramePr>
            <xdr:cNvPr id="6" name="Month 4">
              <a:extLst>
                <a:ext uri="{FF2B5EF4-FFF2-40B4-BE49-F238E27FC236}">
                  <a16:creationId xmlns:a16="http://schemas.microsoft.com/office/drawing/2014/main" id="{B0669D0D-ED3B-AC5F-65BF-50E302C3AEE0}"/>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6461760" y="174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548640</xdr:colOff>
      <xdr:row>7</xdr:row>
      <xdr:rowOff>83820</xdr:rowOff>
    </xdr:from>
    <xdr:to>
      <xdr:col>15</xdr:col>
      <xdr:colOff>289560</xdr:colOff>
      <xdr:row>22</xdr:row>
      <xdr:rowOff>83820</xdr:rowOff>
    </xdr:to>
    <xdr:graphicFrame macro="">
      <xdr:nvGraphicFramePr>
        <xdr:cNvPr id="9" name="Chart 8">
          <a:extLst>
            <a:ext uri="{FF2B5EF4-FFF2-40B4-BE49-F238E27FC236}">
              <a16:creationId xmlns:a16="http://schemas.microsoft.com/office/drawing/2014/main" id="{481F320F-7AD0-AD55-5ED2-B8BFC7E8F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220980</xdr:colOff>
      <xdr:row>43</xdr:row>
      <xdr:rowOff>106680</xdr:rowOff>
    </xdr:from>
    <xdr:to>
      <xdr:col>10</xdr:col>
      <xdr:colOff>129540</xdr:colOff>
      <xdr:row>58</xdr:row>
      <xdr:rowOff>106680</xdr:rowOff>
    </xdr:to>
    <xdr:graphicFrame macro="">
      <xdr:nvGraphicFramePr>
        <xdr:cNvPr id="7" name="Chart 6">
          <a:extLst>
            <a:ext uri="{FF2B5EF4-FFF2-40B4-BE49-F238E27FC236}">
              <a16:creationId xmlns:a16="http://schemas.microsoft.com/office/drawing/2014/main" id="{0A9F9734-798F-8A27-0266-3F8C4558B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373380</xdr:colOff>
      <xdr:row>44</xdr:row>
      <xdr:rowOff>68581</xdr:rowOff>
    </xdr:from>
    <xdr:to>
      <xdr:col>19</xdr:col>
      <xdr:colOff>495300</xdr:colOff>
      <xdr:row>47</xdr:row>
      <xdr:rowOff>137160</xdr:rowOff>
    </xdr:to>
    <mc:AlternateContent xmlns:mc="http://schemas.openxmlformats.org/markup-compatibility/2006" xmlns:a14="http://schemas.microsoft.com/office/drawing/2010/main">
      <mc:Choice Requires="a14">
        <xdr:graphicFrame macro="">
          <xdr:nvGraphicFramePr>
            <xdr:cNvPr id="8" name="year 2">
              <a:extLst>
                <a:ext uri="{FF2B5EF4-FFF2-40B4-BE49-F238E27FC236}">
                  <a16:creationId xmlns:a16="http://schemas.microsoft.com/office/drawing/2014/main" id="{9555E0EE-4A1A-813D-07B7-B181E0AE7C1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536180" y="8115301"/>
              <a:ext cx="3413760" cy="617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0</xdr:row>
      <xdr:rowOff>144780</xdr:rowOff>
    </xdr:from>
    <xdr:to>
      <xdr:col>21</xdr:col>
      <xdr:colOff>441960</xdr:colOff>
      <xdr:row>30</xdr:row>
      <xdr:rowOff>45720</xdr:rowOff>
    </xdr:to>
    <xdr:sp macro="" textlink="">
      <xdr:nvSpPr>
        <xdr:cNvPr id="2" name="Rectangle 1">
          <a:extLst>
            <a:ext uri="{FF2B5EF4-FFF2-40B4-BE49-F238E27FC236}">
              <a16:creationId xmlns:a16="http://schemas.microsoft.com/office/drawing/2014/main" id="{BE45989C-8101-4B2B-AAC7-8F0B4D06BA2D}"/>
            </a:ext>
          </a:extLst>
        </xdr:cNvPr>
        <xdr:cNvSpPr/>
      </xdr:nvSpPr>
      <xdr:spPr>
        <a:xfrm>
          <a:off x="609600" y="144780"/>
          <a:ext cx="12633960" cy="538734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266700</xdr:colOff>
      <xdr:row>1</xdr:row>
      <xdr:rowOff>76200</xdr:rowOff>
    </xdr:from>
    <xdr:to>
      <xdr:col>21</xdr:col>
      <xdr:colOff>243840</xdr:colOff>
      <xdr:row>29</xdr:row>
      <xdr:rowOff>167640</xdr:rowOff>
    </xdr:to>
    <xdr:sp macro="" textlink="">
      <xdr:nvSpPr>
        <xdr:cNvPr id="3" name="Rectangle 2">
          <a:extLst>
            <a:ext uri="{FF2B5EF4-FFF2-40B4-BE49-F238E27FC236}">
              <a16:creationId xmlns:a16="http://schemas.microsoft.com/office/drawing/2014/main" id="{0D7703F0-47D3-4B30-9738-137AC9594C03}"/>
            </a:ext>
          </a:extLst>
        </xdr:cNvPr>
        <xdr:cNvSpPr/>
      </xdr:nvSpPr>
      <xdr:spPr>
        <a:xfrm>
          <a:off x="2095500" y="259080"/>
          <a:ext cx="10949940" cy="5212080"/>
        </a:xfrm>
        <a:prstGeom prst="rect">
          <a:avLst/>
        </a:prstGeom>
        <a:solidFill>
          <a:schemeClr val="tx2">
            <a:lumMod val="20000"/>
            <a:lumOff val="80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b="1"/>
        </a:p>
      </xdr:txBody>
    </xdr:sp>
    <xdr:clientData/>
  </xdr:twoCellAnchor>
  <xdr:twoCellAnchor>
    <xdr:from>
      <xdr:col>3</xdr:col>
      <xdr:colOff>365760</xdr:colOff>
      <xdr:row>1</xdr:row>
      <xdr:rowOff>167640</xdr:rowOff>
    </xdr:from>
    <xdr:to>
      <xdr:col>6</xdr:col>
      <xdr:colOff>167640</xdr:colOff>
      <xdr:row>5</xdr:row>
      <xdr:rowOff>30480</xdr:rowOff>
    </xdr:to>
    <xdr:sp macro="" textlink="">
      <xdr:nvSpPr>
        <xdr:cNvPr id="4" name="Rectangle: Rounded Corners 3">
          <a:extLst>
            <a:ext uri="{FF2B5EF4-FFF2-40B4-BE49-F238E27FC236}">
              <a16:creationId xmlns:a16="http://schemas.microsoft.com/office/drawing/2014/main" id="{70E93BEC-C02B-4CCA-A873-F75FA6C487BA}"/>
            </a:ext>
          </a:extLst>
        </xdr:cNvPr>
        <xdr:cNvSpPr/>
      </xdr:nvSpPr>
      <xdr:spPr>
        <a:xfrm>
          <a:off x="2194560" y="350520"/>
          <a:ext cx="163068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t>Mamography Patient Analysis</a:t>
          </a:r>
          <a:endParaRPr lang="en-IN" sz="1050" b="1"/>
        </a:p>
      </xdr:txBody>
    </xdr:sp>
    <xdr:clientData/>
  </xdr:twoCellAnchor>
  <xdr:twoCellAnchor>
    <xdr:from>
      <xdr:col>7</xdr:col>
      <xdr:colOff>220980</xdr:colOff>
      <xdr:row>2</xdr:row>
      <xdr:rowOff>22860</xdr:rowOff>
    </xdr:from>
    <xdr:to>
      <xdr:col>8</xdr:col>
      <xdr:colOff>426720</xdr:colOff>
      <xdr:row>4</xdr:row>
      <xdr:rowOff>172064</xdr:rowOff>
    </xdr:to>
    <xdr:sp macro="" textlink="">
      <xdr:nvSpPr>
        <xdr:cNvPr id="5" name="Rectangle: Rounded Corners 4">
          <a:extLst>
            <a:ext uri="{FF2B5EF4-FFF2-40B4-BE49-F238E27FC236}">
              <a16:creationId xmlns:a16="http://schemas.microsoft.com/office/drawing/2014/main" id="{3781116E-5A18-49F1-8164-DA94052624CA}"/>
            </a:ext>
          </a:extLst>
        </xdr:cNvPr>
        <xdr:cNvSpPr/>
      </xdr:nvSpPr>
      <xdr:spPr>
        <a:xfrm>
          <a:off x="4488180" y="38862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434340</xdr:colOff>
      <xdr:row>2</xdr:row>
      <xdr:rowOff>22860</xdr:rowOff>
    </xdr:from>
    <xdr:to>
      <xdr:col>9</xdr:col>
      <xdr:colOff>281940</xdr:colOff>
      <xdr:row>4</xdr:row>
      <xdr:rowOff>179684</xdr:rowOff>
    </xdr:to>
    <xdr:sp macro="" textlink="">
      <xdr:nvSpPr>
        <xdr:cNvPr id="6" name="Rectangle: Rounded Corners 5">
          <a:extLst>
            <a:ext uri="{FF2B5EF4-FFF2-40B4-BE49-F238E27FC236}">
              <a16:creationId xmlns:a16="http://schemas.microsoft.com/office/drawing/2014/main" id="{3C2F9028-3320-4D6A-AA22-4DC1F6F10EC8}"/>
            </a:ext>
          </a:extLst>
        </xdr:cNvPr>
        <xdr:cNvSpPr/>
      </xdr:nvSpPr>
      <xdr:spPr>
        <a:xfrm>
          <a:off x="4701540" y="388620"/>
          <a:ext cx="106680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baseline="0">
              <a:solidFill>
                <a:schemeClr val="tx1"/>
              </a:solidFill>
            </a:rPr>
            <a:t>Total 2021-26</a:t>
          </a:r>
        </a:p>
      </xdr:txBody>
    </xdr:sp>
    <xdr:clientData/>
  </xdr:twoCellAnchor>
  <xdr:twoCellAnchor>
    <xdr:from>
      <xdr:col>11</xdr:col>
      <xdr:colOff>251460</xdr:colOff>
      <xdr:row>2</xdr:row>
      <xdr:rowOff>15240</xdr:rowOff>
    </xdr:from>
    <xdr:to>
      <xdr:col>12</xdr:col>
      <xdr:colOff>457200</xdr:colOff>
      <xdr:row>4</xdr:row>
      <xdr:rowOff>164444</xdr:rowOff>
    </xdr:to>
    <xdr:sp macro="" textlink="">
      <xdr:nvSpPr>
        <xdr:cNvPr id="7" name="Rectangle: Rounded Corners 6">
          <a:extLst>
            <a:ext uri="{FF2B5EF4-FFF2-40B4-BE49-F238E27FC236}">
              <a16:creationId xmlns:a16="http://schemas.microsoft.com/office/drawing/2014/main" id="{A9FC5B51-FA81-E9C9-56BA-660DF1C08B64}"/>
            </a:ext>
          </a:extLst>
        </xdr:cNvPr>
        <xdr:cNvSpPr/>
      </xdr:nvSpPr>
      <xdr:spPr>
        <a:xfrm>
          <a:off x="6957060" y="38100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464820</xdr:colOff>
      <xdr:row>2</xdr:row>
      <xdr:rowOff>15240</xdr:rowOff>
    </xdr:from>
    <xdr:to>
      <xdr:col>13</xdr:col>
      <xdr:colOff>312420</xdr:colOff>
      <xdr:row>4</xdr:row>
      <xdr:rowOff>172064</xdr:rowOff>
    </xdr:to>
    <xdr:sp macro="" textlink="">
      <xdr:nvSpPr>
        <xdr:cNvPr id="8" name="Rectangle: Rounded Corners 7">
          <a:extLst>
            <a:ext uri="{FF2B5EF4-FFF2-40B4-BE49-F238E27FC236}">
              <a16:creationId xmlns:a16="http://schemas.microsoft.com/office/drawing/2014/main" id="{7F815379-A667-8344-D6A1-1B9808D72FE6}"/>
            </a:ext>
          </a:extLst>
        </xdr:cNvPr>
        <xdr:cNvSpPr/>
      </xdr:nvSpPr>
      <xdr:spPr>
        <a:xfrm>
          <a:off x="7170420" y="381000"/>
          <a:ext cx="106680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baseline="0">
              <a:solidFill>
                <a:schemeClr val="tx1"/>
              </a:solidFill>
            </a:rPr>
            <a:t>KJSS 2021-26</a:t>
          </a:r>
        </a:p>
      </xdr:txBody>
    </xdr:sp>
    <xdr:clientData/>
  </xdr:twoCellAnchor>
  <xdr:twoCellAnchor>
    <xdr:from>
      <xdr:col>15</xdr:col>
      <xdr:colOff>190500</xdr:colOff>
      <xdr:row>2</xdr:row>
      <xdr:rowOff>15240</xdr:rowOff>
    </xdr:from>
    <xdr:to>
      <xdr:col>16</xdr:col>
      <xdr:colOff>396240</xdr:colOff>
      <xdr:row>4</xdr:row>
      <xdr:rowOff>164444</xdr:rowOff>
    </xdr:to>
    <xdr:sp macro="" textlink="">
      <xdr:nvSpPr>
        <xdr:cNvPr id="10" name="Rectangle: Rounded Corners 9">
          <a:extLst>
            <a:ext uri="{FF2B5EF4-FFF2-40B4-BE49-F238E27FC236}">
              <a16:creationId xmlns:a16="http://schemas.microsoft.com/office/drawing/2014/main" id="{0E51C996-4C3C-FDD7-7724-D8B0EB9436B7}"/>
            </a:ext>
          </a:extLst>
        </xdr:cNvPr>
        <xdr:cNvSpPr/>
      </xdr:nvSpPr>
      <xdr:spPr>
        <a:xfrm>
          <a:off x="9334500" y="38100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403860</xdr:colOff>
      <xdr:row>2</xdr:row>
      <xdr:rowOff>15240</xdr:rowOff>
    </xdr:from>
    <xdr:to>
      <xdr:col>17</xdr:col>
      <xdr:colOff>396240</xdr:colOff>
      <xdr:row>4</xdr:row>
      <xdr:rowOff>172064</xdr:rowOff>
    </xdr:to>
    <xdr:sp macro="" textlink="">
      <xdr:nvSpPr>
        <xdr:cNvPr id="11" name="Rectangle: Rounded Corners 10">
          <a:extLst>
            <a:ext uri="{FF2B5EF4-FFF2-40B4-BE49-F238E27FC236}">
              <a16:creationId xmlns:a16="http://schemas.microsoft.com/office/drawing/2014/main" id="{EF2ADA1A-B93F-EA32-A7B3-3C73E4870076}"/>
            </a:ext>
          </a:extLst>
        </xdr:cNvPr>
        <xdr:cNvSpPr/>
      </xdr:nvSpPr>
      <xdr:spPr>
        <a:xfrm>
          <a:off x="9547860" y="381000"/>
          <a:ext cx="121158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baseline="0">
              <a:solidFill>
                <a:schemeClr val="tx1"/>
              </a:solidFill>
            </a:rPr>
            <a:t>NON KJSS 2021-26</a:t>
          </a:r>
        </a:p>
      </xdr:txBody>
    </xdr:sp>
    <xdr:clientData/>
  </xdr:twoCellAnchor>
  <xdr:twoCellAnchor editAs="oneCell">
    <xdr:from>
      <xdr:col>3</xdr:col>
      <xdr:colOff>518160</xdr:colOff>
      <xdr:row>5</xdr:row>
      <xdr:rowOff>137161</xdr:rowOff>
    </xdr:from>
    <xdr:to>
      <xdr:col>6</xdr:col>
      <xdr:colOff>57360</xdr:colOff>
      <xdr:row>12</xdr:row>
      <xdr:rowOff>106680</xdr:rowOff>
    </xdr:to>
    <mc:AlternateContent xmlns:mc="http://schemas.openxmlformats.org/markup-compatibility/2006" xmlns:a14="http://schemas.microsoft.com/office/drawing/2010/main">
      <mc:Choice Requires="a14">
        <xdr:graphicFrame macro="">
          <xdr:nvGraphicFramePr>
            <xdr:cNvPr id="14" name="Year  5">
              <a:extLst>
                <a:ext uri="{FF2B5EF4-FFF2-40B4-BE49-F238E27FC236}">
                  <a16:creationId xmlns:a16="http://schemas.microsoft.com/office/drawing/2014/main" id="{82085C0D-F679-41D3-9A33-7403BAF6684B}"/>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2346960" y="1051561"/>
              <a:ext cx="136800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525780</xdr:colOff>
      <xdr:row>12</xdr:row>
      <xdr:rowOff>160020</xdr:rowOff>
    </xdr:from>
    <xdr:to>
      <xdr:col>6</xdr:col>
      <xdr:colOff>64980</xdr:colOff>
      <xdr:row>29</xdr:row>
      <xdr:rowOff>30480</xdr:rowOff>
    </xdr:to>
    <mc:AlternateContent xmlns:mc="http://schemas.openxmlformats.org/markup-compatibility/2006" xmlns:a14="http://schemas.microsoft.com/office/drawing/2010/main">
      <mc:Choice Requires="a14">
        <xdr:graphicFrame macro="">
          <xdr:nvGraphicFramePr>
            <xdr:cNvPr id="15" name="Month 5">
              <a:extLst>
                <a:ext uri="{FF2B5EF4-FFF2-40B4-BE49-F238E27FC236}">
                  <a16:creationId xmlns:a16="http://schemas.microsoft.com/office/drawing/2014/main" id="{AA1AB008-E8F8-484B-9799-E6671B85DEE4}"/>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2354580" y="2354580"/>
              <a:ext cx="1368000" cy="2979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579120</xdr:colOff>
      <xdr:row>3</xdr:row>
      <xdr:rowOff>91440</xdr:rowOff>
    </xdr:from>
    <xdr:to>
      <xdr:col>13</xdr:col>
      <xdr:colOff>205740</xdr:colOff>
      <xdr:row>4</xdr:row>
      <xdr:rowOff>116478</xdr:rowOff>
    </xdr:to>
    <xdr:sp macro="" textlink="">
      <xdr:nvSpPr>
        <xdr:cNvPr id="17" name="Rectangle 16">
          <a:extLst>
            <a:ext uri="{FF2B5EF4-FFF2-40B4-BE49-F238E27FC236}">
              <a16:creationId xmlns:a16="http://schemas.microsoft.com/office/drawing/2014/main" id="{64A5F99F-5B55-CA08-6DE0-16E0C30F0A45}"/>
            </a:ext>
          </a:extLst>
        </xdr:cNvPr>
        <xdr:cNvSpPr/>
      </xdr:nvSpPr>
      <xdr:spPr>
        <a:xfrm>
          <a:off x="7284720" y="640080"/>
          <a:ext cx="845820" cy="2079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333</a:t>
          </a:r>
        </a:p>
      </xdr:txBody>
    </xdr:sp>
    <xdr:clientData/>
  </xdr:twoCellAnchor>
  <xdr:twoCellAnchor>
    <xdr:from>
      <xdr:col>16</xdr:col>
      <xdr:colOff>15240</xdr:colOff>
      <xdr:row>3</xdr:row>
      <xdr:rowOff>99060</xdr:rowOff>
    </xdr:from>
    <xdr:to>
      <xdr:col>17</xdr:col>
      <xdr:colOff>251460</xdr:colOff>
      <xdr:row>4</xdr:row>
      <xdr:rowOff>124098</xdr:rowOff>
    </xdr:to>
    <xdr:sp macro="" textlink="">
      <xdr:nvSpPr>
        <xdr:cNvPr id="18" name="Rectangle 17">
          <a:extLst>
            <a:ext uri="{FF2B5EF4-FFF2-40B4-BE49-F238E27FC236}">
              <a16:creationId xmlns:a16="http://schemas.microsoft.com/office/drawing/2014/main" id="{3A956D06-B0B9-AA0A-FA56-625513905AF7}"/>
            </a:ext>
          </a:extLst>
        </xdr:cNvPr>
        <xdr:cNvSpPr/>
      </xdr:nvSpPr>
      <xdr:spPr>
        <a:xfrm>
          <a:off x="9768840" y="647700"/>
          <a:ext cx="845820" cy="2079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1,174</a:t>
          </a:r>
        </a:p>
      </xdr:txBody>
    </xdr:sp>
    <xdr:clientData/>
  </xdr:twoCellAnchor>
  <xdr:twoCellAnchor>
    <xdr:from>
      <xdr:col>6</xdr:col>
      <xdr:colOff>457200</xdr:colOff>
      <xdr:row>6</xdr:row>
      <xdr:rowOff>30480</xdr:rowOff>
    </xdr:from>
    <xdr:to>
      <xdr:col>14</xdr:col>
      <xdr:colOff>548640</xdr:colOff>
      <xdr:row>16</xdr:row>
      <xdr:rowOff>14940</xdr:rowOff>
    </xdr:to>
    <xdr:graphicFrame macro="">
      <xdr:nvGraphicFramePr>
        <xdr:cNvPr id="19" name="Chart 18">
          <a:extLst>
            <a:ext uri="{FF2B5EF4-FFF2-40B4-BE49-F238E27FC236}">
              <a16:creationId xmlns:a16="http://schemas.microsoft.com/office/drawing/2014/main" id="{55D51377-91C6-4483-B4E1-7E4D37163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457200</xdr:colOff>
      <xdr:row>16</xdr:row>
      <xdr:rowOff>129540</xdr:rowOff>
    </xdr:from>
    <xdr:to>
      <xdr:col>21</xdr:col>
      <xdr:colOff>7620</xdr:colOff>
      <xdr:row>28</xdr:row>
      <xdr:rowOff>166980</xdr:rowOff>
    </xdr:to>
    <xdr:graphicFrame macro="">
      <xdr:nvGraphicFramePr>
        <xdr:cNvPr id="20" name="Chart 19">
          <a:extLst>
            <a:ext uri="{FF2B5EF4-FFF2-40B4-BE49-F238E27FC236}">
              <a16:creationId xmlns:a16="http://schemas.microsoft.com/office/drawing/2014/main" id="{B165F98A-3B29-46FB-842F-E74711C5E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76200</xdr:colOff>
      <xdr:row>7</xdr:row>
      <xdr:rowOff>30480</xdr:rowOff>
    </xdr:from>
    <xdr:to>
      <xdr:col>21</xdr:col>
      <xdr:colOff>600</xdr:colOff>
      <xdr:row>16</xdr:row>
      <xdr:rowOff>15360</xdr:rowOff>
    </xdr:to>
    <xdr:graphicFrame macro="">
      <xdr:nvGraphicFramePr>
        <xdr:cNvPr id="9" name="Chart 8">
          <a:extLst>
            <a:ext uri="{FF2B5EF4-FFF2-40B4-BE49-F238E27FC236}">
              <a16:creationId xmlns:a16="http://schemas.microsoft.com/office/drawing/2014/main" id="{16307BDF-04A1-4E5E-A62B-EE622AC32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91440</xdr:colOff>
      <xdr:row>5</xdr:row>
      <xdr:rowOff>175260</xdr:rowOff>
    </xdr:from>
    <xdr:to>
      <xdr:col>21</xdr:col>
      <xdr:colOff>15240</xdr:colOff>
      <xdr:row>9</xdr:row>
      <xdr:rowOff>68579</xdr:rowOff>
    </xdr:to>
    <mc:AlternateContent xmlns:mc="http://schemas.openxmlformats.org/markup-compatibility/2006" xmlns:a14="http://schemas.microsoft.com/office/drawing/2010/main">
      <mc:Choice Requires="a14">
        <xdr:graphicFrame macro="">
          <xdr:nvGraphicFramePr>
            <xdr:cNvPr id="13" name="year 3">
              <a:extLst>
                <a:ext uri="{FF2B5EF4-FFF2-40B4-BE49-F238E27FC236}">
                  <a16:creationId xmlns:a16="http://schemas.microsoft.com/office/drawing/2014/main" id="{B2457E00-821B-41AB-A3EC-405075BC8182}"/>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9235440" y="1089660"/>
              <a:ext cx="358140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129540</xdr:colOff>
      <xdr:row>5</xdr:row>
      <xdr:rowOff>137160</xdr:rowOff>
    </xdr:from>
    <xdr:to>
      <xdr:col>3</xdr:col>
      <xdr:colOff>129540</xdr:colOff>
      <xdr:row>7</xdr:row>
      <xdr:rowOff>137160</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BCD5E924-2A3C-4B31-AE0F-D4F54EB4930B}"/>
            </a:ext>
          </a:extLst>
        </xdr:cNvPr>
        <xdr:cNvSpPr/>
      </xdr:nvSpPr>
      <xdr:spPr>
        <a:xfrm>
          <a:off x="739140" y="105156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Sonography</a:t>
          </a:r>
        </a:p>
      </xdr:txBody>
    </xdr:sp>
    <xdr:clientData/>
  </xdr:twoCellAnchor>
  <xdr:twoCellAnchor>
    <xdr:from>
      <xdr:col>1</xdr:col>
      <xdr:colOff>129540</xdr:colOff>
      <xdr:row>9</xdr:row>
      <xdr:rowOff>106680</xdr:rowOff>
    </xdr:from>
    <xdr:to>
      <xdr:col>3</xdr:col>
      <xdr:colOff>129540</xdr:colOff>
      <xdr:row>11</xdr:row>
      <xdr:rowOff>106680</xdr:rowOff>
    </xdr:to>
    <xdr:sp macro="" textlink="">
      <xdr:nvSpPr>
        <xdr:cNvPr id="23" name="Rectangle: Rounded Corners 22">
          <a:hlinkClick xmlns:r="http://schemas.openxmlformats.org/officeDocument/2006/relationships" r:id="rId5"/>
          <a:extLst>
            <a:ext uri="{FF2B5EF4-FFF2-40B4-BE49-F238E27FC236}">
              <a16:creationId xmlns:a16="http://schemas.microsoft.com/office/drawing/2014/main" id="{4929C758-BB29-4186-BA68-CACD779DCCB1}"/>
            </a:ext>
          </a:extLst>
        </xdr:cNvPr>
        <xdr:cNvSpPr/>
      </xdr:nvSpPr>
      <xdr:spPr>
        <a:xfrm>
          <a:off x="739140" y="175260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X-ray</a:t>
          </a:r>
        </a:p>
      </xdr:txBody>
    </xdr:sp>
    <xdr:clientData/>
  </xdr:twoCellAnchor>
  <xdr:twoCellAnchor>
    <xdr:from>
      <xdr:col>1</xdr:col>
      <xdr:colOff>129540</xdr:colOff>
      <xdr:row>13</xdr:row>
      <xdr:rowOff>121920</xdr:rowOff>
    </xdr:from>
    <xdr:to>
      <xdr:col>3</xdr:col>
      <xdr:colOff>129540</xdr:colOff>
      <xdr:row>15</xdr:row>
      <xdr:rowOff>121920</xdr:rowOff>
    </xdr:to>
    <xdr:sp macro="" textlink="">
      <xdr:nvSpPr>
        <xdr:cNvPr id="32" name="Rectangle: Rounded Corners 31">
          <a:hlinkClick xmlns:r="http://schemas.openxmlformats.org/officeDocument/2006/relationships" r:id="rId6"/>
          <a:extLst>
            <a:ext uri="{FF2B5EF4-FFF2-40B4-BE49-F238E27FC236}">
              <a16:creationId xmlns:a16="http://schemas.microsoft.com/office/drawing/2014/main" id="{8257CB56-15B0-4B93-83D6-D73DD54467E3}"/>
            </a:ext>
          </a:extLst>
        </xdr:cNvPr>
        <xdr:cNvSpPr/>
      </xdr:nvSpPr>
      <xdr:spPr>
        <a:xfrm>
          <a:off x="739140" y="249936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Dental</a:t>
          </a:r>
        </a:p>
      </xdr:txBody>
    </xdr:sp>
    <xdr:clientData/>
  </xdr:twoCellAnchor>
  <xdr:twoCellAnchor>
    <xdr:from>
      <xdr:col>1</xdr:col>
      <xdr:colOff>137160</xdr:colOff>
      <xdr:row>17</xdr:row>
      <xdr:rowOff>99060</xdr:rowOff>
    </xdr:from>
    <xdr:to>
      <xdr:col>3</xdr:col>
      <xdr:colOff>137160</xdr:colOff>
      <xdr:row>19</xdr:row>
      <xdr:rowOff>99060</xdr:rowOff>
    </xdr:to>
    <xdr:sp macro="" textlink="">
      <xdr:nvSpPr>
        <xdr:cNvPr id="35" name="Rectangle: Rounded Corners 34">
          <a:hlinkClick xmlns:r="http://schemas.openxmlformats.org/officeDocument/2006/relationships" r:id="rId7"/>
          <a:extLst>
            <a:ext uri="{FF2B5EF4-FFF2-40B4-BE49-F238E27FC236}">
              <a16:creationId xmlns:a16="http://schemas.microsoft.com/office/drawing/2014/main" id="{7023303C-E91B-99E6-F3D7-568EE2BAE4A6}"/>
            </a:ext>
          </a:extLst>
        </xdr:cNvPr>
        <xdr:cNvSpPr/>
      </xdr:nvSpPr>
      <xdr:spPr>
        <a:xfrm>
          <a:off x="746760" y="320802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BodyCheckup</a:t>
          </a:r>
        </a:p>
      </xdr:txBody>
    </xdr:sp>
    <xdr:clientData/>
  </xdr:twoCellAnchor>
  <xdr:twoCellAnchor>
    <xdr:from>
      <xdr:col>1</xdr:col>
      <xdr:colOff>144780</xdr:colOff>
      <xdr:row>21</xdr:row>
      <xdr:rowOff>121920</xdr:rowOff>
    </xdr:from>
    <xdr:to>
      <xdr:col>3</xdr:col>
      <xdr:colOff>144780</xdr:colOff>
      <xdr:row>23</xdr:row>
      <xdr:rowOff>121920</xdr:rowOff>
    </xdr:to>
    <xdr:sp macro="" textlink="">
      <xdr:nvSpPr>
        <xdr:cNvPr id="36" name="Rectangle: Rounded Corners 35">
          <a:hlinkClick xmlns:r="http://schemas.openxmlformats.org/officeDocument/2006/relationships" r:id="rId8"/>
          <a:extLst>
            <a:ext uri="{FF2B5EF4-FFF2-40B4-BE49-F238E27FC236}">
              <a16:creationId xmlns:a16="http://schemas.microsoft.com/office/drawing/2014/main" id="{997CB543-9E96-419F-8004-0CEE130CDF64}"/>
            </a:ext>
          </a:extLst>
        </xdr:cNvPr>
        <xdr:cNvSpPr/>
      </xdr:nvSpPr>
      <xdr:spPr>
        <a:xfrm>
          <a:off x="754380" y="3962400"/>
          <a:ext cx="1219200" cy="365760"/>
        </a:xfrm>
        <a:prstGeom prst="roundRect">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a:solidFill>
                <a:schemeClr val="tx1"/>
              </a:solidFill>
            </a:rPr>
            <a:t>Mamography</a:t>
          </a:r>
        </a:p>
      </xdr:txBody>
    </xdr:sp>
    <xdr:clientData/>
  </xdr:twoCellAnchor>
  <xdr:twoCellAnchor>
    <xdr:from>
      <xdr:col>7</xdr:col>
      <xdr:colOff>507045</xdr:colOff>
      <xdr:row>3</xdr:row>
      <xdr:rowOff>74033</xdr:rowOff>
    </xdr:from>
    <xdr:to>
      <xdr:col>9</xdr:col>
      <xdr:colOff>134402</xdr:colOff>
      <xdr:row>4</xdr:row>
      <xdr:rowOff>93157</xdr:rowOff>
    </xdr:to>
    <xdr:sp macro="" textlink="">
      <xdr:nvSpPr>
        <xdr:cNvPr id="16" name="Rectangle 15">
          <a:extLst>
            <a:ext uri="{FF2B5EF4-FFF2-40B4-BE49-F238E27FC236}">
              <a16:creationId xmlns:a16="http://schemas.microsoft.com/office/drawing/2014/main" id="{6E68260E-BA50-4903-B687-BAB6269A6553}"/>
            </a:ext>
          </a:extLst>
        </xdr:cNvPr>
        <xdr:cNvSpPr/>
      </xdr:nvSpPr>
      <xdr:spPr>
        <a:xfrm>
          <a:off x="4764458" y="619317"/>
          <a:ext cx="843761" cy="20088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rPr>
            <a:t>1,538</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152400</xdr:colOff>
      <xdr:row>11</xdr:row>
      <xdr:rowOff>167640</xdr:rowOff>
    </xdr:from>
    <xdr:to>
      <xdr:col>4</xdr:col>
      <xdr:colOff>190500</xdr:colOff>
      <xdr:row>26</xdr:row>
      <xdr:rowOff>167640</xdr:rowOff>
    </xdr:to>
    <xdr:graphicFrame macro="">
      <xdr:nvGraphicFramePr>
        <xdr:cNvPr id="2" name="Chart 1">
          <a:extLst>
            <a:ext uri="{FF2B5EF4-FFF2-40B4-BE49-F238E27FC236}">
              <a16:creationId xmlns:a16="http://schemas.microsoft.com/office/drawing/2014/main" id="{178F8C08-39AB-C39A-BD1B-04EEA9E97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350520</xdr:colOff>
      <xdr:row>29</xdr:row>
      <xdr:rowOff>167640</xdr:rowOff>
    </xdr:from>
    <xdr:to>
      <xdr:col>10</xdr:col>
      <xdr:colOff>556260</xdr:colOff>
      <xdr:row>44</xdr:row>
      <xdr:rowOff>167640</xdr:rowOff>
    </xdr:to>
    <xdr:graphicFrame macro="">
      <xdr:nvGraphicFramePr>
        <xdr:cNvPr id="3" name="Chart 2">
          <a:extLst>
            <a:ext uri="{FF2B5EF4-FFF2-40B4-BE49-F238E27FC236}">
              <a16:creationId xmlns:a16="http://schemas.microsoft.com/office/drawing/2014/main" id="{CABC8476-5DC2-6CF6-3D3F-5E4A3D069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373380</xdr:colOff>
      <xdr:row>66</xdr:row>
      <xdr:rowOff>68580</xdr:rowOff>
    </xdr:from>
    <xdr:to>
      <xdr:col>3</xdr:col>
      <xdr:colOff>510540</xdr:colOff>
      <xdr:row>81</xdr:row>
      <xdr:rowOff>68580</xdr:rowOff>
    </xdr:to>
    <xdr:graphicFrame macro="">
      <xdr:nvGraphicFramePr>
        <xdr:cNvPr id="5" name="Chart 4">
          <a:extLst>
            <a:ext uri="{FF2B5EF4-FFF2-40B4-BE49-F238E27FC236}">
              <a16:creationId xmlns:a16="http://schemas.microsoft.com/office/drawing/2014/main" id="{DCE3F01A-85F5-DDAB-9D20-AC4AD596D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243840</xdr:colOff>
      <xdr:row>60</xdr:row>
      <xdr:rowOff>45720</xdr:rowOff>
    </xdr:from>
    <xdr:to>
      <xdr:col>6</xdr:col>
      <xdr:colOff>853440</xdr:colOff>
      <xdr:row>73</xdr:row>
      <xdr:rowOff>135255</xdr:rowOff>
    </xdr:to>
    <mc:AlternateContent xmlns:mc="http://schemas.openxmlformats.org/markup-compatibility/2006" xmlns:a14="http://schemas.microsoft.com/office/drawing/2010/main">
      <mc:Choice Requires="a14">
        <xdr:graphicFrame macro="">
          <xdr:nvGraphicFramePr>
            <xdr:cNvPr id="6" name="year 10">
              <a:extLst>
                <a:ext uri="{FF2B5EF4-FFF2-40B4-BE49-F238E27FC236}">
                  <a16:creationId xmlns:a16="http://schemas.microsoft.com/office/drawing/2014/main" id="{6B1433EF-1872-17B9-C98C-FE5E56C76520}"/>
                </a:ext>
              </a:extLst>
            </xdr:cNvPr>
            <xdr:cNvGraphicFramePr/>
          </xdr:nvGraphicFramePr>
          <xdr:xfrm>
            <a:off x="0" y="0"/>
            <a:ext cx="0" cy="0"/>
          </xdr:xfrm>
          <a:graphic>
            <a:graphicData uri="http://schemas.microsoft.com/office/drawing/2010/slicer">
              <sle:slicer xmlns:sle="http://schemas.microsoft.com/office/drawing/2010/slicer" name="year 10"/>
            </a:graphicData>
          </a:graphic>
        </xdr:graphicFrame>
      </mc:Choice>
      <mc:Fallback xmlns="">
        <xdr:sp macro="" textlink="">
          <xdr:nvSpPr>
            <xdr:cNvPr id="0" name=""/>
            <xdr:cNvSpPr>
              <a:spLocks noTextEdit="1"/>
            </xdr:cNvSpPr>
          </xdr:nvSpPr>
          <xdr:spPr>
            <a:xfrm>
              <a:off x="4267200" y="11018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1577340</xdr:colOff>
      <xdr:row>7</xdr:row>
      <xdr:rowOff>45720</xdr:rowOff>
    </xdr:from>
    <xdr:to>
      <xdr:col>5</xdr:col>
      <xdr:colOff>434340</xdr:colOff>
      <xdr:row>20</xdr:row>
      <xdr:rowOff>135255</xdr:rowOff>
    </xdr:to>
    <mc:AlternateContent xmlns:mc="http://schemas.openxmlformats.org/markup-compatibility/2006" xmlns:a14="http://schemas.microsoft.com/office/drawing/2010/main">
      <mc:Choice Requires="a14">
        <xdr:graphicFrame macro="">
          <xdr:nvGraphicFramePr>
            <xdr:cNvPr id="7" name="Year  12">
              <a:extLst>
                <a:ext uri="{FF2B5EF4-FFF2-40B4-BE49-F238E27FC236}">
                  <a16:creationId xmlns:a16="http://schemas.microsoft.com/office/drawing/2014/main" id="{98D4E8D1-D7E8-E318-6ECB-57BCB11D6D4F}"/>
                </a:ext>
              </a:extLst>
            </xdr:cNvPr>
            <xdr:cNvGraphicFramePr/>
          </xdr:nvGraphicFramePr>
          <xdr:xfrm>
            <a:off x="0" y="0"/>
            <a:ext cx="0" cy="0"/>
          </xdr:xfrm>
          <a:graphic>
            <a:graphicData uri="http://schemas.microsoft.com/office/drawing/2010/slicer">
              <sle:slicer xmlns:sle="http://schemas.microsoft.com/office/drawing/2010/slicer" name="Year  12"/>
            </a:graphicData>
          </a:graphic>
        </xdr:graphicFrame>
      </mc:Choice>
      <mc:Fallback xmlns="">
        <xdr:sp macro="" textlink="">
          <xdr:nvSpPr>
            <xdr:cNvPr id="0" name=""/>
            <xdr:cNvSpPr>
              <a:spLocks noTextEdit="1"/>
            </xdr:cNvSpPr>
          </xdr:nvSpPr>
          <xdr:spPr>
            <a:xfrm>
              <a:off x="3238500" y="1325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1950720</xdr:colOff>
      <xdr:row>5</xdr:row>
      <xdr:rowOff>160020</xdr:rowOff>
    </xdr:from>
    <xdr:to>
      <xdr:col>12</xdr:col>
      <xdr:colOff>0</xdr:colOff>
      <xdr:row>19</xdr:row>
      <xdr:rowOff>66675</xdr:rowOff>
    </xdr:to>
    <mc:AlternateContent xmlns:mc="http://schemas.openxmlformats.org/markup-compatibility/2006" xmlns:a14="http://schemas.microsoft.com/office/drawing/2010/main">
      <mc:Choice Requires="a14">
        <xdr:graphicFrame macro="">
          <xdr:nvGraphicFramePr>
            <xdr:cNvPr id="8" name="Month 12">
              <a:extLst>
                <a:ext uri="{FF2B5EF4-FFF2-40B4-BE49-F238E27FC236}">
                  <a16:creationId xmlns:a16="http://schemas.microsoft.com/office/drawing/2014/main" id="{BB4EB532-45E9-3068-FE56-923EB5CE4778}"/>
                </a:ext>
              </a:extLst>
            </xdr:cNvPr>
            <xdr:cNvGraphicFramePr/>
          </xdr:nvGraphicFramePr>
          <xdr:xfrm>
            <a:off x="0" y="0"/>
            <a:ext cx="0" cy="0"/>
          </xdr:xfrm>
          <a:graphic>
            <a:graphicData uri="http://schemas.microsoft.com/office/drawing/2010/slicer">
              <sle:slicer xmlns:sle="http://schemas.microsoft.com/office/drawing/2010/slicer" name="Month 12"/>
            </a:graphicData>
          </a:graphic>
        </xdr:graphicFrame>
      </mc:Choice>
      <mc:Fallback xmlns="">
        <xdr:sp macro="" textlink="">
          <xdr:nvSpPr>
            <xdr:cNvPr id="0" name=""/>
            <xdr:cNvSpPr>
              <a:spLocks noTextEdit="1"/>
            </xdr:cNvSpPr>
          </xdr:nvSpPr>
          <xdr:spPr>
            <a:xfrm>
              <a:off x="8709660" y="1074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0</xdr:rowOff>
    </xdr:from>
    <xdr:to>
      <xdr:col>21</xdr:col>
      <xdr:colOff>441960</xdr:colOff>
      <xdr:row>30</xdr:row>
      <xdr:rowOff>83820</xdr:rowOff>
    </xdr:to>
    <xdr:sp macro="" textlink="">
      <xdr:nvSpPr>
        <xdr:cNvPr id="4" name="Rectangle 3">
          <a:extLst>
            <a:ext uri="{FF2B5EF4-FFF2-40B4-BE49-F238E27FC236}">
              <a16:creationId xmlns:a16="http://schemas.microsoft.com/office/drawing/2014/main" id="{3F323A6A-7EFC-4A74-8F02-A591C1F248EC}"/>
            </a:ext>
          </a:extLst>
        </xdr:cNvPr>
        <xdr:cNvSpPr/>
      </xdr:nvSpPr>
      <xdr:spPr>
        <a:xfrm>
          <a:off x="609600" y="182880"/>
          <a:ext cx="12633960" cy="538734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358140</xdr:colOff>
      <xdr:row>1</xdr:row>
      <xdr:rowOff>83820</xdr:rowOff>
    </xdr:from>
    <xdr:to>
      <xdr:col>21</xdr:col>
      <xdr:colOff>335280</xdr:colOff>
      <xdr:row>29</xdr:row>
      <xdr:rowOff>175260</xdr:rowOff>
    </xdr:to>
    <xdr:sp macro="" textlink="">
      <xdr:nvSpPr>
        <xdr:cNvPr id="5" name="Rectangle 4">
          <a:extLst>
            <a:ext uri="{FF2B5EF4-FFF2-40B4-BE49-F238E27FC236}">
              <a16:creationId xmlns:a16="http://schemas.microsoft.com/office/drawing/2014/main" id="{32B0AEC4-1E87-4076-85DF-FEA092F90C93}"/>
            </a:ext>
          </a:extLst>
        </xdr:cNvPr>
        <xdr:cNvSpPr/>
      </xdr:nvSpPr>
      <xdr:spPr>
        <a:xfrm>
          <a:off x="2186940" y="266700"/>
          <a:ext cx="10949940" cy="5212080"/>
        </a:xfrm>
        <a:prstGeom prst="rect">
          <a:avLst/>
        </a:prstGeom>
        <a:solidFill>
          <a:schemeClr val="tx2">
            <a:lumMod val="20000"/>
            <a:lumOff val="80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b="1"/>
        </a:p>
      </xdr:txBody>
    </xdr:sp>
    <xdr:clientData/>
  </xdr:twoCellAnchor>
  <xdr:twoCellAnchor>
    <xdr:from>
      <xdr:col>3</xdr:col>
      <xdr:colOff>464820</xdr:colOff>
      <xdr:row>2</xdr:row>
      <xdr:rowOff>15240</xdr:rowOff>
    </xdr:from>
    <xdr:to>
      <xdr:col>6</xdr:col>
      <xdr:colOff>563880</xdr:colOff>
      <xdr:row>5</xdr:row>
      <xdr:rowOff>60960</xdr:rowOff>
    </xdr:to>
    <xdr:sp macro="" textlink="">
      <xdr:nvSpPr>
        <xdr:cNvPr id="6" name="Rectangle: Rounded Corners 5">
          <a:extLst>
            <a:ext uri="{FF2B5EF4-FFF2-40B4-BE49-F238E27FC236}">
              <a16:creationId xmlns:a16="http://schemas.microsoft.com/office/drawing/2014/main" id="{ADEEBDD0-59E3-40CD-80C1-C4592C9DDA6C}"/>
            </a:ext>
          </a:extLst>
        </xdr:cNvPr>
        <xdr:cNvSpPr/>
      </xdr:nvSpPr>
      <xdr:spPr>
        <a:xfrm>
          <a:off x="2293620" y="381000"/>
          <a:ext cx="192786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t>BodyCheckup Indetail Patient Analysis</a:t>
          </a:r>
          <a:endParaRPr lang="en-IN" sz="1050" b="1"/>
        </a:p>
      </xdr:txBody>
    </xdr:sp>
    <xdr:clientData/>
  </xdr:twoCellAnchor>
  <xdr:twoCellAnchor>
    <xdr:from>
      <xdr:col>1</xdr:col>
      <xdr:colOff>205740</xdr:colOff>
      <xdr:row>10</xdr:row>
      <xdr:rowOff>121920</xdr:rowOff>
    </xdr:from>
    <xdr:to>
      <xdr:col>3</xdr:col>
      <xdr:colOff>205740</xdr:colOff>
      <xdr:row>12</xdr:row>
      <xdr:rowOff>121920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B3642CAD-166C-4FD3-B1F3-E7D67DE38FF8}"/>
            </a:ext>
          </a:extLst>
        </xdr:cNvPr>
        <xdr:cNvSpPr/>
      </xdr:nvSpPr>
      <xdr:spPr>
        <a:xfrm>
          <a:off x="815340" y="1950720"/>
          <a:ext cx="1219200" cy="365760"/>
        </a:xfrm>
        <a:prstGeom prst="roundRect">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a:solidFill>
                <a:schemeClr val="tx1"/>
              </a:solidFill>
            </a:rPr>
            <a:t>Sonography</a:t>
          </a:r>
        </a:p>
      </xdr:txBody>
    </xdr:sp>
    <xdr:clientData/>
  </xdr:twoCellAnchor>
  <xdr:twoCellAnchor>
    <xdr:from>
      <xdr:col>8</xdr:col>
      <xdr:colOff>60960</xdr:colOff>
      <xdr:row>2</xdr:row>
      <xdr:rowOff>83820</xdr:rowOff>
    </xdr:from>
    <xdr:to>
      <xdr:col>9</xdr:col>
      <xdr:colOff>266700</xdr:colOff>
      <xdr:row>5</xdr:row>
      <xdr:rowOff>50144</xdr:rowOff>
    </xdr:to>
    <xdr:sp macro="" textlink="">
      <xdr:nvSpPr>
        <xdr:cNvPr id="9" name="Rectangle: Rounded Corners 8">
          <a:extLst>
            <a:ext uri="{FF2B5EF4-FFF2-40B4-BE49-F238E27FC236}">
              <a16:creationId xmlns:a16="http://schemas.microsoft.com/office/drawing/2014/main" id="{5D021D1C-45BF-4414-ABAD-61B1F92A610C}"/>
            </a:ext>
          </a:extLst>
        </xdr:cNvPr>
        <xdr:cNvSpPr/>
      </xdr:nvSpPr>
      <xdr:spPr>
        <a:xfrm>
          <a:off x="4937760" y="44958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274320</xdr:colOff>
      <xdr:row>2</xdr:row>
      <xdr:rowOff>83820</xdr:rowOff>
    </xdr:from>
    <xdr:to>
      <xdr:col>10</xdr:col>
      <xdr:colOff>441960</xdr:colOff>
      <xdr:row>5</xdr:row>
      <xdr:rowOff>57764</xdr:rowOff>
    </xdr:to>
    <xdr:sp macro="" textlink="">
      <xdr:nvSpPr>
        <xdr:cNvPr id="10" name="Rectangle: Rounded Corners 9">
          <a:extLst>
            <a:ext uri="{FF2B5EF4-FFF2-40B4-BE49-F238E27FC236}">
              <a16:creationId xmlns:a16="http://schemas.microsoft.com/office/drawing/2014/main" id="{6FF45F2B-ED86-40E9-9153-D9ECFC8C1270}"/>
            </a:ext>
          </a:extLst>
        </xdr:cNvPr>
        <xdr:cNvSpPr/>
      </xdr:nvSpPr>
      <xdr:spPr>
        <a:xfrm>
          <a:off x="5151120" y="449580"/>
          <a:ext cx="138684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baseline="0">
              <a:solidFill>
                <a:schemeClr val="tx1"/>
              </a:solidFill>
            </a:rPr>
            <a:t>Sonography 2021-26</a:t>
          </a:r>
        </a:p>
      </xdr:txBody>
    </xdr:sp>
    <xdr:clientData/>
  </xdr:twoCellAnchor>
  <xdr:twoCellAnchor>
    <xdr:from>
      <xdr:col>13</xdr:col>
      <xdr:colOff>114300</xdr:colOff>
      <xdr:row>2</xdr:row>
      <xdr:rowOff>91440</xdr:rowOff>
    </xdr:from>
    <xdr:to>
      <xdr:col>14</xdr:col>
      <xdr:colOff>320040</xdr:colOff>
      <xdr:row>5</xdr:row>
      <xdr:rowOff>57764</xdr:rowOff>
    </xdr:to>
    <xdr:sp macro="" textlink="">
      <xdr:nvSpPr>
        <xdr:cNvPr id="12" name="Rectangle: Rounded Corners 11">
          <a:extLst>
            <a:ext uri="{FF2B5EF4-FFF2-40B4-BE49-F238E27FC236}">
              <a16:creationId xmlns:a16="http://schemas.microsoft.com/office/drawing/2014/main" id="{FD32BEE0-00A3-D2AE-91C7-B0ED83DC4020}"/>
            </a:ext>
          </a:extLst>
        </xdr:cNvPr>
        <xdr:cNvSpPr/>
      </xdr:nvSpPr>
      <xdr:spPr>
        <a:xfrm>
          <a:off x="8039100" y="45720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327660</xdr:colOff>
      <xdr:row>2</xdr:row>
      <xdr:rowOff>91440</xdr:rowOff>
    </xdr:from>
    <xdr:to>
      <xdr:col>16</xdr:col>
      <xdr:colOff>571500</xdr:colOff>
      <xdr:row>5</xdr:row>
      <xdr:rowOff>65384</xdr:rowOff>
    </xdr:to>
    <xdr:sp macro="" textlink="">
      <xdr:nvSpPr>
        <xdr:cNvPr id="13" name="Rectangle: Rounded Corners 12">
          <a:extLst>
            <a:ext uri="{FF2B5EF4-FFF2-40B4-BE49-F238E27FC236}">
              <a16:creationId xmlns:a16="http://schemas.microsoft.com/office/drawing/2014/main" id="{844E7AD7-35C9-1B6A-6607-58A33ECC4A02}"/>
            </a:ext>
          </a:extLst>
        </xdr:cNvPr>
        <xdr:cNvSpPr/>
      </xdr:nvSpPr>
      <xdr:spPr>
        <a:xfrm>
          <a:off x="8252460" y="457200"/>
          <a:ext cx="207264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baseline="0">
              <a:solidFill>
                <a:schemeClr val="tx1"/>
              </a:solidFill>
            </a:rPr>
            <a:t>Bodycheck_Sonography 2021-26</a:t>
          </a:r>
        </a:p>
      </xdr:txBody>
    </xdr:sp>
    <xdr:clientData/>
  </xdr:twoCellAnchor>
  <xdr:twoCellAnchor>
    <xdr:from>
      <xdr:col>13</xdr:col>
      <xdr:colOff>541020</xdr:colOff>
      <xdr:row>3</xdr:row>
      <xdr:rowOff>144780</xdr:rowOff>
    </xdr:from>
    <xdr:to>
      <xdr:col>15</xdr:col>
      <xdr:colOff>167640</xdr:colOff>
      <xdr:row>4</xdr:row>
      <xdr:rowOff>169818</xdr:rowOff>
    </xdr:to>
    <xdr:sp macro="" textlink="">
      <xdr:nvSpPr>
        <xdr:cNvPr id="14" name="Rectangle 13">
          <a:extLst>
            <a:ext uri="{FF2B5EF4-FFF2-40B4-BE49-F238E27FC236}">
              <a16:creationId xmlns:a16="http://schemas.microsoft.com/office/drawing/2014/main" id="{862C6370-5500-F044-8941-C41CC91B392F}"/>
            </a:ext>
          </a:extLst>
        </xdr:cNvPr>
        <xdr:cNvSpPr/>
      </xdr:nvSpPr>
      <xdr:spPr>
        <a:xfrm>
          <a:off x="8465820" y="693420"/>
          <a:ext cx="845820" cy="2079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16,727</a:t>
          </a:r>
        </a:p>
      </xdr:txBody>
    </xdr:sp>
    <xdr:clientData/>
  </xdr:twoCellAnchor>
  <xdr:twoCellAnchor>
    <xdr:from>
      <xdr:col>18</xdr:col>
      <xdr:colOff>426720</xdr:colOff>
      <xdr:row>2</xdr:row>
      <xdr:rowOff>60960</xdr:rowOff>
    </xdr:from>
    <xdr:to>
      <xdr:col>20</xdr:col>
      <xdr:colOff>22860</xdr:colOff>
      <xdr:row>5</xdr:row>
      <xdr:rowOff>27284</xdr:rowOff>
    </xdr:to>
    <xdr:sp macro="" textlink="">
      <xdr:nvSpPr>
        <xdr:cNvPr id="15" name="Rectangle: Rounded Corners 14">
          <a:extLst>
            <a:ext uri="{FF2B5EF4-FFF2-40B4-BE49-F238E27FC236}">
              <a16:creationId xmlns:a16="http://schemas.microsoft.com/office/drawing/2014/main" id="{8406DF62-11B3-A114-3BD4-EBBAF745C00A}"/>
            </a:ext>
          </a:extLst>
        </xdr:cNvPr>
        <xdr:cNvSpPr/>
      </xdr:nvSpPr>
      <xdr:spPr>
        <a:xfrm>
          <a:off x="11399520" y="42672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30480</xdr:colOff>
      <xdr:row>2</xdr:row>
      <xdr:rowOff>60960</xdr:rowOff>
    </xdr:from>
    <xdr:to>
      <xdr:col>20</xdr:col>
      <xdr:colOff>563880</xdr:colOff>
      <xdr:row>5</xdr:row>
      <xdr:rowOff>34904</xdr:rowOff>
    </xdr:to>
    <xdr:sp macro="" textlink="">
      <xdr:nvSpPr>
        <xdr:cNvPr id="16" name="Rectangle: Rounded Corners 15">
          <a:extLst>
            <a:ext uri="{FF2B5EF4-FFF2-40B4-BE49-F238E27FC236}">
              <a16:creationId xmlns:a16="http://schemas.microsoft.com/office/drawing/2014/main" id="{4FA45F31-EE27-8B1F-C456-1A923BC4B29C}"/>
            </a:ext>
          </a:extLst>
        </xdr:cNvPr>
        <xdr:cNvSpPr/>
      </xdr:nvSpPr>
      <xdr:spPr>
        <a:xfrm>
          <a:off x="11612880" y="426720"/>
          <a:ext cx="114300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baseline="0">
              <a:solidFill>
                <a:schemeClr val="tx1"/>
              </a:solidFill>
            </a:rPr>
            <a:t>Total 2021-26</a:t>
          </a:r>
        </a:p>
      </xdr:txBody>
    </xdr:sp>
    <xdr:clientData/>
  </xdr:twoCellAnchor>
  <xdr:twoCellAnchor>
    <xdr:from>
      <xdr:col>19</xdr:col>
      <xdr:colOff>121920</xdr:colOff>
      <xdr:row>3</xdr:row>
      <xdr:rowOff>114300</xdr:rowOff>
    </xdr:from>
    <xdr:to>
      <xdr:col>20</xdr:col>
      <xdr:colOff>358140</xdr:colOff>
      <xdr:row>4</xdr:row>
      <xdr:rowOff>139338</xdr:rowOff>
    </xdr:to>
    <xdr:sp macro="" textlink="">
      <xdr:nvSpPr>
        <xdr:cNvPr id="17" name="Rectangle 16">
          <a:extLst>
            <a:ext uri="{FF2B5EF4-FFF2-40B4-BE49-F238E27FC236}">
              <a16:creationId xmlns:a16="http://schemas.microsoft.com/office/drawing/2014/main" id="{E31EB0C3-1E16-4340-E332-BE1FC2E6382D}"/>
            </a:ext>
          </a:extLst>
        </xdr:cNvPr>
        <xdr:cNvSpPr/>
      </xdr:nvSpPr>
      <xdr:spPr>
        <a:xfrm>
          <a:off x="11704320" y="662940"/>
          <a:ext cx="845820" cy="2079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70,117</a:t>
          </a:r>
        </a:p>
      </xdr:txBody>
    </xdr:sp>
    <xdr:clientData/>
  </xdr:twoCellAnchor>
  <xdr:twoCellAnchor>
    <xdr:from>
      <xdr:col>1</xdr:col>
      <xdr:colOff>213360</xdr:colOff>
      <xdr:row>14</xdr:row>
      <xdr:rowOff>45720</xdr:rowOff>
    </xdr:from>
    <xdr:to>
      <xdr:col>3</xdr:col>
      <xdr:colOff>213360</xdr:colOff>
      <xdr:row>16</xdr:row>
      <xdr:rowOff>45720</xdr:rowOff>
    </xdr:to>
    <xdr:sp macro="" textlink="">
      <xdr:nvSpPr>
        <xdr:cNvPr id="18" name="Rectangle: Rounded Corners 17">
          <a:hlinkClick xmlns:r="http://schemas.openxmlformats.org/officeDocument/2006/relationships" r:id="rId2"/>
          <a:extLst>
            <a:ext uri="{FF2B5EF4-FFF2-40B4-BE49-F238E27FC236}">
              <a16:creationId xmlns:a16="http://schemas.microsoft.com/office/drawing/2014/main" id="{B0E0BE80-97DB-4499-8433-93F43FB8B5E9}"/>
            </a:ext>
          </a:extLst>
        </xdr:cNvPr>
        <xdr:cNvSpPr/>
      </xdr:nvSpPr>
      <xdr:spPr>
        <a:xfrm>
          <a:off x="822960" y="260604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X-ray</a:t>
          </a:r>
        </a:p>
      </xdr:txBody>
    </xdr:sp>
    <xdr:clientData/>
  </xdr:twoCellAnchor>
  <xdr:twoCellAnchor editAs="oneCell">
    <xdr:from>
      <xdr:col>4</xdr:col>
      <xdr:colOff>7620</xdr:colOff>
      <xdr:row>6</xdr:row>
      <xdr:rowOff>22861</xdr:rowOff>
    </xdr:from>
    <xdr:to>
      <xdr:col>6</xdr:col>
      <xdr:colOff>160020</xdr:colOff>
      <xdr:row>12</xdr:row>
      <xdr:rowOff>175260</xdr:rowOff>
    </xdr:to>
    <mc:AlternateContent xmlns:mc="http://schemas.openxmlformats.org/markup-compatibility/2006" xmlns:a14="http://schemas.microsoft.com/office/drawing/2010/main">
      <mc:Choice Requires="a14">
        <xdr:graphicFrame macro="">
          <xdr:nvGraphicFramePr>
            <xdr:cNvPr id="19" name="Year  13">
              <a:extLst>
                <a:ext uri="{FF2B5EF4-FFF2-40B4-BE49-F238E27FC236}">
                  <a16:creationId xmlns:a16="http://schemas.microsoft.com/office/drawing/2014/main" id="{33470D27-42DA-42FF-926B-874FAD89081E}"/>
                </a:ext>
              </a:extLst>
            </xdr:cNvPr>
            <xdr:cNvGraphicFramePr/>
          </xdr:nvGraphicFramePr>
          <xdr:xfrm>
            <a:off x="0" y="0"/>
            <a:ext cx="0" cy="0"/>
          </xdr:xfrm>
          <a:graphic>
            <a:graphicData uri="http://schemas.microsoft.com/office/drawing/2010/slicer">
              <sle:slicer xmlns:sle="http://schemas.microsoft.com/office/drawing/2010/slicer" name="Year  13"/>
            </a:graphicData>
          </a:graphic>
        </xdr:graphicFrame>
      </mc:Choice>
      <mc:Fallback xmlns="">
        <xdr:sp macro="" textlink="">
          <xdr:nvSpPr>
            <xdr:cNvPr id="0" name=""/>
            <xdr:cNvSpPr>
              <a:spLocks noTextEdit="1"/>
            </xdr:cNvSpPr>
          </xdr:nvSpPr>
          <xdr:spPr>
            <a:xfrm>
              <a:off x="2446020" y="1120141"/>
              <a:ext cx="137160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13</xdr:row>
      <xdr:rowOff>38100</xdr:rowOff>
    </xdr:from>
    <xdr:to>
      <xdr:col>6</xdr:col>
      <xdr:colOff>167640</xdr:colOff>
      <xdr:row>29</xdr:row>
      <xdr:rowOff>30480</xdr:rowOff>
    </xdr:to>
    <mc:AlternateContent xmlns:mc="http://schemas.openxmlformats.org/markup-compatibility/2006" xmlns:a14="http://schemas.microsoft.com/office/drawing/2010/main">
      <mc:Choice Requires="a14">
        <xdr:graphicFrame macro="">
          <xdr:nvGraphicFramePr>
            <xdr:cNvPr id="20" name="Month 13">
              <a:extLst>
                <a:ext uri="{FF2B5EF4-FFF2-40B4-BE49-F238E27FC236}">
                  <a16:creationId xmlns:a16="http://schemas.microsoft.com/office/drawing/2014/main" id="{1F6D1847-DA44-49FB-8D4F-A7F0B1CD065E}"/>
                </a:ext>
              </a:extLst>
            </xdr:cNvPr>
            <xdr:cNvGraphicFramePr/>
          </xdr:nvGraphicFramePr>
          <xdr:xfrm>
            <a:off x="0" y="0"/>
            <a:ext cx="0" cy="0"/>
          </xdr:xfrm>
          <a:graphic>
            <a:graphicData uri="http://schemas.microsoft.com/office/drawing/2010/slicer">
              <sle:slicer xmlns:sle="http://schemas.microsoft.com/office/drawing/2010/slicer" name="Month 13"/>
            </a:graphicData>
          </a:graphic>
        </xdr:graphicFrame>
      </mc:Choice>
      <mc:Fallback xmlns="">
        <xdr:sp macro="" textlink="">
          <xdr:nvSpPr>
            <xdr:cNvPr id="0" name=""/>
            <xdr:cNvSpPr>
              <a:spLocks noTextEdit="1"/>
            </xdr:cNvSpPr>
          </xdr:nvSpPr>
          <xdr:spPr>
            <a:xfrm>
              <a:off x="2446020" y="2415540"/>
              <a:ext cx="1379220" cy="2918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449580</xdr:colOff>
      <xdr:row>6</xdr:row>
      <xdr:rowOff>114300</xdr:rowOff>
    </xdr:from>
    <xdr:to>
      <xdr:col>14</xdr:col>
      <xdr:colOff>144780</xdr:colOff>
      <xdr:row>17</xdr:row>
      <xdr:rowOff>30480</xdr:rowOff>
    </xdr:to>
    <xdr:graphicFrame macro="">
      <xdr:nvGraphicFramePr>
        <xdr:cNvPr id="21" name="Chart 20">
          <a:extLst>
            <a:ext uri="{FF2B5EF4-FFF2-40B4-BE49-F238E27FC236}">
              <a16:creationId xmlns:a16="http://schemas.microsoft.com/office/drawing/2014/main" id="{0C082042-78B8-4D89-9D64-913F1EE25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441960</xdr:colOff>
      <xdr:row>17</xdr:row>
      <xdr:rowOff>114300</xdr:rowOff>
    </xdr:from>
    <xdr:to>
      <xdr:col>21</xdr:col>
      <xdr:colOff>205740</xdr:colOff>
      <xdr:row>28</xdr:row>
      <xdr:rowOff>160020</xdr:rowOff>
    </xdr:to>
    <xdr:graphicFrame macro="">
      <xdr:nvGraphicFramePr>
        <xdr:cNvPr id="22" name="Chart 21">
          <a:extLst>
            <a:ext uri="{FF2B5EF4-FFF2-40B4-BE49-F238E27FC236}">
              <a16:creationId xmlns:a16="http://schemas.microsoft.com/office/drawing/2014/main" id="{CC91131B-45C3-42B0-8AEA-9E444AD95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213360</xdr:colOff>
      <xdr:row>7</xdr:row>
      <xdr:rowOff>175260</xdr:rowOff>
    </xdr:from>
    <xdr:to>
      <xdr:col>21</xdr:col>
      <xdr:colOff>190500</xdr:colOff>
      <xdr:row>17</xdr:row>
      <xdr:rowOff>22860</xdr:rowOff>
    </xdr:to>
    <xdr:graphicFrame macro="">
      <xdr:nvGraphicFramePr>
        <xdr:cNvPr id="23" name="Chart 22">
          <a:extLst>
            <a:ext uri="{FF2B5EF4-FFF2-40B4-BE49-F238E27FC236}">
              <a16:creationId xmlns:a16="http://schemas.microsoft.com/office/drawing/2014/main" id="{EC7F5281-932B-40E6-A61F-13A42A57E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220980</xdr:colOff>
      <xdr:row>6</xdr:row>
      <xdr:rowOff>68581</xdr:rowOff>
    </xdr:from>
    <xdr:to>
      <xdr:col>21</xdr:col>
      <xdr:colOff>182880</xdr:colOff>
      <xdr:row>9</xdr:row>
      <xdr:rowOff>129540</xdr:rowOff>
    </xdr:to>
    <mc:AlternateContent xmlns:mc="http://schemas.openxmlformats.org/markup-compatibility/2006" xmlns:a14="http://schemas.microsoft.com/office/drawing/2010/main">
      <mc:Choice Requires="a14">
        <xdr:graphicFrame macro="">
          <xdr:nvGraphicFramePr>
            <xdr:cNvPr id="24" name="year 11">
              <a:extLst>
                <a:ext uri="{FF2B5EF4-FFF2-40B4-BE49-F238E27FC236}">
                  <a16:creationId xmlns:a16="http://schemas.microsoft.com/office/drawing/2014/main" id="{6A9B124C-8344-49BB-9F1D-1849FDF463F7}"/>
                </a:ext>
              </a:extLst>
            </xdr:cNvPr>
            <xdr:cNvGraphicFramePr/>
          </xdr:nvGraphicFramePr>
          <xdr:xfrm>
            <a:off x="0" y="0"/>
            <a:ext cx="0" cy="0"/>
          </xdr:xfrm>
          <a:graphic>
            <a:graphicData uri="http://schemas.microsoft.com/office/drawing/2010/slicer">
              <sle:slicer xmlns:sle="http://schemas.microsoft.com/office/drawing/2010/slicer" name="year 11"/>
            </a:graphicData>
          </a:graphic>
        </xdr:graphicFrame>
      </mc:Choice>
      <mc:Fallback xmlns="">
        <xdr:sp macro="" textlink="">
          <xdr:nvSpPr>
            <xdr:cNvPr id="0" name=""/>
            <xdr:cNvSpPr>
              <a:spLocks noTextEdit="1"/>
            </xdr:cNvSpPr>
          </xdr:nvSpPr>
          <xdr:spPr>
            <a:xfrm>
              <a:off x="8755380" y="1165861"/>
              <a:ext cx="4229100"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437179</xdr:colOff>
      <xdr:row>3</xdr:row>
      <xdr:rowOff>135816</xdr:rowOff>
    </xdr:from>
    <xdr:to>
      <xdr:col>10</xdr:col>
      <xdr:colOff>53704</xdr:colOff>
      <xdr:row>4</xdr:row>
      <xdr:rowOff>164733</xdr:rowOff>
    </xdr:to>
    <xdr:sp macro="" textlink="">
      <xdr:nvSpPr>
        <xdr:cNvPr id="2" name="Rectangle 1">
          <a:extLst>
            <a:ext uri="{FF2B5EF4-FFF2-40B4-BE49-F238E27FC236}">
              <a16:creationId xmlns:a16="http://schemas.microsoft.com/office/drawing/2014/main" id="{F10E9518-3F53-4B5B-B169-2048FAB035BF}"/>
            </a:ext>
          </a:extLst>
        </xdr:cNvPr>
        <xdr:cNvSpPr/>
      </xdr:nvSpPr>
      <xdr:spPr>
        <a:xfrm>
          <a:off x="5337885" y="673698"/>
          <a:ext cx="841701" cy="2082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solidFill>
                <a:schemeClr val="tx1"/>
              </a:solidFill>
              <a:effectLst/>
              <a:latin typeface="+mn-lt"/>
              <a:ea typeface="+mn-ea"/>
              <a:cs typeface="+mn-cs"/>
            </a:rPr>
            <a:t>53,390</a:t>
          </a:r>
          <a:endParaRPr lang="en-IN" sz="1100" b="1">
            <a:solidFill>
              <a:schemeClr val="tx1"/>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144780</xdr:colOff>
      <xdr:row>10</xdr:row>
      <xdr:rowOff>7620</xdr:rowOff>
    </xdr:from>
    <xdr:to>
      <xdr:col>5</xdr:col>
      <xdr:colOff>30480</xdr:colOff>
      <xdr:row>25</xdr:row>
      <xdr:rowOff>7620</xdr:rowOff>
    </xdr:to>
    <xdr:graphicFrame macro="">
      <xdr:nvGraphicFramePr>
        <xdr:cNvPr id="2" name="Chart 1">
          <a:extLst>
            <a:ext uri="{FF2B5EF4-FFF2-40B4-BE49-F238E27FC236}">
              <a16:creationId xmlns:a16="http://schemas.microsoft.com/office/drawing/2014/main" id="{AE1929CD-25FB-D726-FA67-EFB86C397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701040</xdr:colOff>
      <xdr:row>7</xdr:row>
      <xdr:rowOff>83820</xdr:rowOff>
    </xdr:from>
    <xdr:to>
      <xdr:col>12</xdr:col>
      <xdr:colOff>327660</xdr:colOff>
      <xdr:row>22</xdr:row>
      <xdr:rowOff>83820</xdr:rowOff>
    </xdr:to>
    <xdr:graphicFrame macro="">
      <xdr:nvGraphicFramePr>
        <xdr:cNvPr id="3" name="Chart 2">
          <a:extLst>
            <a:ext uri="{FF2B5EF4-FFF2-40B4-BE49-F238E27FC236}">
              <a16:creationId xmlns:a16="http://schemas.microsoft.com/office/drawing/2014/main" id="{6F99A981-D61C-5F4D-119A-119A1BE16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1592580</xdr:colOff>
      <xdr:row>3</xdr:row>
      <xdr:rowOff>45720</xdr:rowOff>
    </xdr:from>
    <xdr:to>
      <xdr:col>6</xdr:col>
      <xdr:colOff>0</xdr:colOff>
      <xdr:row>16</xdr:row>
      <xdr:rowOff>135255</xdr:rowOff>
    </xdr:to>
    <mc:AlternateContent xmlns:mc="http://schemas.openxmlformats.org/markup-compatibility/2006" xmlns:a14="http://schemas.microsoft.com/office/drawing/2010/main">
      <mc:Choice Requires="a14">
        <xdr:graphicFrame macro="">
          <xdr:nvGraphicFramePr>
            <xdr:cNvPr id="4" name="Year  14">
              <a:extLst>
                <a:ext uri="{FF2B5EF4-FFF2-40B4-BE49-F238E27FC236}">
                  <a16:creationId xmlns:a16="http://schemas.microsoft.com/office/drawing/2014/main" id="{E79306BE-9F2B-69C8-89A4-F8C2D0FAD424}"/>
                </a:ext>
              </a:extLst>
            </xdr:cNvPr>
            <xdr:cNvGraphicFramePr/>
          </xdr:nvGraphicFramePr>
          <xdr:xfrm>
            <a:off x="0" y="0"/>
            <a:ext cx="0" cy="0"/>
          </xdr:xfrm>
          <a:graphic>
            <a:graphicData uri="http://schemas.microsoft.com/office/drawing/2010/slicer">
              <sle:slicer xmlns:sle="http://schemas.microsoft.com/office/drawing/2010/slicer" name="Year  14"/>
            </a:graphicData>
          </a:graphic>
        </xdr:graphicFrame>
      </mc:Choice>
      <mc:Fallback xmlns="">
        <xdr:sp macro="" textlink="">
          <xdr:nvSpPr>
            <xdr:cNvPr id="0" name=""/>
            <xdr:cNvSpPr>
              <a:spLocks noTextEdit="1"/>
            </xdr:cNvSpPr>
          </xdr:nvSpPr>
          <xdr:spPr>
            <a:xfrm>
              <a:off x="2567940" y="594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198120</xdr:colOff>
      <xdr:row>3</xdr:row>
      <xdr:rowOff>22860</xdr:rowOff>
    </xdr:from>
    <xdr:to>
      <xdr:col>12</xdr:col>
      <xdr:colOff>198120</xdr:colOff>
      <xdr:row>16</xdr:row>
      <xdr:rowOff>112395</xdr:rowOff>
    </xdr:to>
    <mc:AlternateContent xmlns:mc="http://schemas.openxmlformats.org/markup-compatibility/2006" xmlns:a14="http://schemas.microsoft.com/office/drawing/2010/main">
      <mc:Choice Requires="a14">
        <xdr:graphicFrame macro="">
          <xdr:nvGraphicFramePr>
            <xdr:cNvPr id="5" name="Month 14">
              <a:extLst>
                <a:ext uri="{FF2B5EF4-FFF2-40B4-BE49-F238E27FC236}">
                  <a16:creationId xmlns:a16="http://schemas.microsoft.com/office/drawing/2014/main" id="{697DC6FB-C4E7-43F4-37BF-470718585B74}"/>
                </a:ext>
              </a:extLst>
            </xdr:cNvPr>
            <xdr:cNvGraphicFramePr/>
          </xdr:nvGraphicFramePr>
          <xdr:xfrm>
            <a:off x="0" y="0"/>
            <a:ext cx="0" cy="0"/>
          </xdr:xfrm>
          <a:graphic>
            <a:graphicData uri="http://schemas.microsoft.com/office/drawing/2010/slicer">
              <sle:slicer xmlns:sle="http://schemas.microsoft.com/office/drawing/2010/slicer" name="Month 14"/>
            </a:graphicData>
          </a:graphic>
        </xdr:graphicFrame>
      </mc:Choice>
      <mc:Fallback xmlns="">
        <xdr:sp macro="" textlink="">
          <xdr:nvSpPr>
            <xdr:cNvPr id="0" name=""/>
            <xdr:cNvSpPr>
              <a:spLocks noTextEdit="1"/>
            </xdr:cNvSpPr>
          </xdr:nvSpPr>
          <xdr:spPr>
            <a:xfrm>
              <a:off x="7246620" y="571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601980</xdr:colOff>
      <xdr:row>39</xdr:row>
      <xdr:rowOff>99060</xdr:rowOff>
    </xdr:from>
    <xdr:to>
      <xdr:col>7</xdr:col>
      <xdr:colOff>754380</xdr:colOff>
      <xdr:row>54</xdr:row>
      <xdr:rowOff>99060</xdr:rowOff>
    </xdr:to>
    <xdr:graphicFrame macro="">
      <xdr:nvGraphicFramePr>
        <xdr:cNvPr id="6" name="Chart 5">
          <a:extLst>
            <a:ext uri="{FF2B5EF4-FFF2-40B4-BE49-F238E27FC236}">
              <a16:creationId xmlns:a16="http://schemas.microsoft.com/office/drawing/2014/main" id="{A208E364-DE91-55BE-440A-5C5837D21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175260</xdr:colOff>
      <xdr:row>30</xdr:row>
      <xdr:rowOff>22860</xdr:rowOff>
    </xdr:from>
    <xdr:to>
      <xdr:col>8</xdr:col>
      <xdr:colOff>38100</xdr:colOff>
      <xdr:row>43</xdr:row>
      <xdr:rowOff>112395</xdr:rowOff>
    </xdr:to>
    <mc:AlternateContent xmlns:mc="http://schemas.openxmlformats.org/markup-compatibility/2006" xmlns:a14="http://schemas.microsoft.com/office/drawing/2010/main">
      <mc:Choice Requires="a14">
        <xdr:graphicFrame macro="">
          <xdr:nvGraphicFramePr>
            <xdr:cNvPr id="7" name="year 12">
              <a:extLst>
                <a:ext uri="{FF2B5EF4-FFF2-40B4-BE49-F238E27FC236}">
                  <a16:creationId xmlns:a16="http://schemas.microsoft.com/office/drawing/2014/main" id="{170B7227-2A6F-DECB-AF57-8EBB1916DC3C}"/>
                </a:ext>
              </a:extLst>
            </xdr:cNvPr>
            <xdr:cNvGraphicFramePr/>
          </xdr:nvGraphicFramePr>
          <xdr:xfrm>
            <a:off x="0" y="0"/>
            <a:ext cx="0" cy="0"/>
          </xdr:xfrm>
          <a:graphic>
            <a:graphicData uri="http://schemas.microsoft.com/office/drawing/2010/slicer">
              <sle:slicer xmlns:sle="http://schemas.microsoft.com/office/drawing/2010/slicer" name="year 12"/>
            </a:graphicData>
          </a:graphic>
        </xdr:graphicFrame>
      </mc:Choice>
      <mc:Fallback xmlns="">
        <xdr:sp macro="" textlink="">
          <xdr:nvSpPr>
            <xdr:cNvPr id="0" name=""/>
            <xdr:cNvSpPr>
              <a:spLocks noTextEdit="1"/>
            </xdr:cNvSpPr>
          </xdr:nvSpPr>
          <xdr:spPr>
            <a:xfrm>
              <a:off x="3962400" y="5509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1</xdr:row>
      <xdr:rowOff>0</xdr:rowOff>
    </xdr:from>
    <xdr:to>
      <xdr:col>21</xdr:col>
      <xdr:colOff>441960</xdr:colOff>
      <xdr:row>30</xdr:row>
      <xdr:rowOff>83820</xdr:rowOff>
    </xdr:to>
    <xdr:sp macro="" textlink="">
      <xdr:nvSpPr>
        <xdr:cNvPr id="2" name="Rectangle 1">
          <a:extLst>
            <a:ext uri="{FF2B5EF4-FFF2-40B4-BE49-F238E27FC236}">
              <a16:creationId xmlns:a16="http://schemas.microsoft.com/office/drawing/2014/main" id="{8E17CBBB-E1A5-475D-B2FF-355190041E33}"/>
            </a:ext>
          </a:extLst>
        </xdr:cNvPr>
        <xdr:cNvSpPr/>
      </xdr:nvSpPr>
      <xdr:spPr>
        <a:xfrm>
          <a:off x="609600" y="182880"/>
          <a:ext cx="12633960" cy="538734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350520</xdr:colOff>
      <xdr:row>1</xdr:row>
      <xdr:rowOff>91440</xdr:rowOff>
    </xdr:from>
    <xdr:to>
      <xdr:col>21</xdr:col>
      <xdr:colOff>327660</xdr:colOff>
      <xdr:row>30</xdr:row>
      <xdr:rowOff>0</xdr:rowOff>
    </xdr:to>
    <xdr:sp macro="" textlink="">
      <xdr:nvSpPr>
        <xdr:cNvPr id="3" name="Rectangle 2">
          <a:extLst>
            <a:ext uri="{FF2B5EF4-FFF2-40B4-BE49-F238E27FC236}">
              <a16:creationId xmlns:a16="http://schemas.microsoft.com/office/drawing/2014/main" id="{F2E00EE8-B3AC-40DC-81F4-4BB08AEBDE2A}"/>
            </a:ext>
          </a:extLst>
        </xdr:cNvPr>
        <xdr:cNvSpPr/>
      </xdr:nvSpPr>
      <xdr:spPr>
        <a:xfrm>
          <a:off x="2179320" y="274320"/>
          <a:ext cx="10949940" cy="5212080"/>
        </a:xfrm>
        <a:prstGeom prst="rect">
          <a:avLst/>
        </a:prstGeom>
        <a:solidFill>
          <a:schemeClr val="tx2">
            <a:lumMod val="20000"/>
            <a:lumOff val="80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b="1"/>
        </a:p>
      </xdr:txBody>
    </xdr:sp>
    <xdr:clientData/>
  </xdr:twoCellAnchor>
  <xdr:twoCellAnchor>
    <xdr:from>
      <xdr:col>1</xdr:col>
      <xdr:colOff>175260</xdr:colOff>
      <xdr:row>14</xdr:row>
      <xdr:rowOff>68580</xdr:rowOff>
    </xdr:from>
    <xdr:to>
      <xdr:col>3</xdr:col>
      <xdr:colOff>175260</xdr:colOff>
      <xdr:row>16</xdr:row>
      <xdr:rowOff>68580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DA792DF8-0684-4AC7-8A8B-30E20BED2198}"/>
            </a:ext>
          </a:extLst>
        </xdr:cNvPr>
        <xdr:cNvSpPr/>
      </xdr:nvSpPr>
      <xdr:spPr>
        <a:xfrm>
          <a:off x="784860" y="2628900"/>
          <a:ext cx="1219200" cy="365760"/>
        </a:xfrm>
        <a:prstGeom prst="roundRect">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i="0" u="none">
              <a:solidFill>
                <a:schemeClr val="tx1"/>
              </a:solidFill>
            </a:rPr>
            <a:t>X-ray</a:t>
          </a:r>
        </a:p>
      </xdr:txBody>
    </xdr:sp>
    <xdr:clientData/>
  </xdr:twoCellAnchor>
  <xdr:twoCellAnchor>
    <xdr:from>
      <xdr:col>1</xdr:col>
      <xdr:colOff>182880</xdr:colOff>
      <xdr:row>10</xdr:row>
      <xdr:rowOff>167640</xdr:rowOff>
    </xdr:from>
    <xdr:to>
      <xdr:col>3</xdr:col>
      <xdr:colOff>182880</xdr:colOff>
      <xdr:row>12</xdr:row>
      <xdr:rowOff>167640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AE7ECE00-5A5F-4694-AE69-B93CA5BC5415}"/>
            </a:ext>
          </a:extLst>
        </xdr:cNvPr>
        <xdr:cNvSpPr/>
      </xdr:nvSpPr>
      <xdr:spPr>
        <a:xfrm>
          <a:off x="792480" y="1996440"/>
          <a:ext cx="1219200" cy="365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Sonography</a:t>
          </a:r>
        </a:p>
      </xdr:txBody>
    </xdr:sp>
    <xdr:clientData/>
  </xdr:twoCellAnchor>
  <xdr:twoCellAnchor>
    <xdr:from>
      <xdr:col>3</xdr:col>
      <xdr:colOff>449580</xdr:colOff>
      <xdr:row>2</xdr:row>
      <xdr:rowOff>15240</xdr:rowOff>
    </xdr:from>
    <xdr:to>
      <xdr:col>6</xdr:col>
      <xdr:colOff>548640</xdr:colOff>
      <xdr:row>5</xdr:row>
      <xdr:rowOff>60960</xdr:rowOff>
    </xdr:to>
    <xdr:sp macro="" textlink="">
      <xdr:nvSpPr>
        <xdr:cNvPr id="6" name="Rectangle: Rounded Corners 5">
          <a:extLst>
            <a:ext uri="{FF2B5EF4-FFF2-40B4-BE49-F238E27FC236}">
              <a16:creationId xmlns:a16="http://schemas.microsoft.com/office/drawing/2014/main" id="{320367E8-FADB-4F2E-BBAF-B8B6F4F5221C}"/>
            </a:ext>
          </a:extLst>
        </xdr:cNvPr>
        <xdr:cNvSpPr/>
      </xdr:nvSpPr>
      <xdr:spPr>
        <a:xfrm>
          <a:off x="2278380" y="381000"/>
          <a:ext cx="192786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t>BodyCheckup Indetail Patient Analysis</a:t>
          </a:r>
          <a:endParaRPr lang="en-IN" sz="1050" b="1"/>
        </a:p>
      </xdr:txBody>
    </xdr:sp>
    <xdr:clientData/>
  </xdr:twoCellAnchor>
  <xdr:twoCellAnchor>
    <xdr:from>
      <xdr:col>7</xdr:col>
      <xdr:colOff>586740</xdr:colOff>
      <xdr:row>2</xdr:row>
      <xdr:rowOff>76200</xdr:rowOff>
    </xdr:from>
    <xdr:to>
      <xdr:col>9</xdr:col>
      <xdr:colOff>182880</xdr:colOff>
      <xdr:row>5</xdr:row>
      <xdr:rowOff>42524</xdr:rowOff>
    </xdr:to>
    <xdr:sp macro="" textlink="">
      <xdr:nvSpPr>
        <xdr:cNvPr id="7" name="Rectangle: Rounded Corners 6">
          <a:extLst>
            <a:ext uri="{FF2B5EF4-FFF2-40B4-BE49-F238E27FC236}">
              <a16:creationId xmlns:a16="http://schemas.microsoft.com/office/drawing/2014/main" id="{C81FF67C-C5B2-4EC1-A131-DF0097D3B1EF}"/>
            </a:ext>
          </a:extLst>
        </xdr:cNvPr>
        <xdr:cNvSpPr/>
      </xdr:nvSpPr>
      <xdr:spPr>
        <a:xfrm>
          <a:off x="4853940" y="44196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213360</xdr:colOff>
      <xdr:row>2</xdr:row>
      <xdr:rowOff>76200</xdr:rowOff>
    </xdr:from>
    <xdr:to>
      <xdr:col>10</xdr:col>
      <xdr:colOff>129540</xdr:colOff>
      <xdr:row>5</xdr:row>
      <xdr:rowOff>50144</xdr:rowOff>
    </xdr:to>
    <xdr:sp macro="" textlink="">
      <xdr:nvSpPr>
        <xdr:cNvPr id="8" name="Rectangle: Rounded Corners 7">
          <a:extLst>
            <a:ext uri="{FF2B5EF4-FFF2-40B4-BE49-F238E27FC236}">
              <a16:creationId xmlns:a16="http://schemas.microsoft.com/office/drawing/2014/main" id="{EBE5FA2B-0860-489D-BCEE-00CEE7A3A9E3}"/>
            </a:ext>
          </a:extLst>
        </xdr:cNvPr>
        <xdr:cNvSpPr/>
      </xdr:nvSpPr>
      <xdr:spPr>
        <a:xfrm>
          <a:off x="5090160" y="441960"/>
          <a:ext cx="113538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baseline="0">
              <a:solidFill>
                <a:schemeClr val="tx1"/>
              </a:solidFill>
            </a:rPr>
            <a:t>X-ray 2021-26</a:t>
          </a:r>
        </a:p>
      </xdr:txBody>
    </xdr:sp>
    <xdr:clientData/>
  </xdr:twoCellAnchor>
  <xdr:twoCellAnchor>
    <xdr:from>
      <xdr:col>12</xdr:col>
      <xdr:colOff>502920</xdr:colOff>
      <xdr:row>2</xdr:row>
      <xdr:rowOff>68580</xdr:rowOff>
    </xdr:from>
    <xdr:to>
      <xdr:col>14</xdr:col>
      <xdr:colOff>99060</xdr:colOff>
      <xdr:row>5</xdr:row>
      <xdr:rowOff>34904</xdr:rowOff>
    </xdr:to>
    <xdr:sp macro="" textlink="">
      <xdr:nvSpPr>
        <xdr:cNvPr id="12" name="Rectangle: Rounded Corners 11">
          <a:extLst>
            <a:ext uri="{FF2B5EF4-FFF2-40B4-BE49-F238E27FC236}">
              <a16:creationId xmlns:a16="http://schemas.microsoft.com/office/drawing/2014/main" id="{E30913D5-FE94-DA4D-BFCD-A2CDECBB0780}"/>
            </a:ext>
          </a:extLst>
        </xdr:cNvPr>
        <xdr:cNvSpPr/>
      </xdr:nvSpPr>
      <xdr:spPr>
        <a:xfrm>
          <a:off x="7818120" y="43434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144780</xdr:colOff>
      <xdr:row>2</xdr:row>
      <xdr:rowOff>68580</xdr:rowOff>
    </xdr:from>
    <xdr:to>
      <xdr:col>16</xdr:col>
      <xdr:colOff>99060</xdr:colOff>
      <xdr:row>5</xdr:row>
      <xdr:rowOff>42524</xdr:rowOff>
    </xdr:to>
    <xdr:sp macro="" textlink="">
      <xdr:nvSpPr>
        <xdr:cNvPr id="13" name="Rectangle: Rounded Corners 12">
          <a:extLst>
            <a:ext uri="{FF2B5EF4-FFF2-40B4-BE49-F238E27FC236}">
              <a16:creationId xmlns:a16="http://schemas.microsoft.com/office/drawing/2014/main" id="{AF612BD1-5745-1A3C-8A4C-06CBB979FD0D}"/>
            </a:ext>
          </a:extLst>
        </xdr:cNvPr>
        <xdr:cNvSpPr/>
      </xdr:nvSpPr>
      <xdr:spPr>
        <a:xfrm>
          <a:off x="8069580" y="434340"/>
          <a:ext cx="178308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baseline="0">
              <a:solidFill>
                <a:schemeClr val="tx1"/>
              </a:solidFill>
            </a:rPr>
            <a:t>Bodycheckup_Xray 2021-26</a:t>
          </a:r>
        </a:p>
      </xdr:txBody>
    </xdr:sp>
    <xdr:clientData/>
  </xdr:twoCellAnchor>
  <xdr:twoCellAnchor>
    <xdr:from>
      <xdr:col>13</xdr:col>
      <xdr:colOff>525780</xdr:colOff>
      <xdr:row>3</xdr:row>
      <xdr:rowOff>129540</xdr:rowOff>
    </xdr:from>
    <xdr:to>
      <xdr:col>15</xdr:col>
      <xdr:colOff>152400</xdr:colOff>
      <xdr:row>4</xdr:row>
      <xdr:rowOff>154578</xdr:rowOff>
    </xdr:to>
    <xdr:sp macro="" textlink="">
      <xdr:nvSpPr>
        <xdr:cNvPr id="14" name="Rectangle 13">
          <a:extLst>
            <a:ext uri="{FF2B5EF4-FFF2-40B4-BE49-F238E27FC236}">
              <a16:creationId xmlns:a16="http://schemas.microsoft.com/office/drawing/2014/main" id="{8F443A73-27DC-442C-A8D0-E9863114DB35}"/>
            </a:ext>
          </a:extLst>
        </xdr:cNvPr>
        <xdr:cNvSpPr/>
      </xdr:nvSpPr>
      <xdr:spPr>
        <a:xfrm>
          <a:off x="8450580" y="678180"/>
          <a:ext cx="845820" cy="2079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19,724</a:t>
          </a:r>
        </a:p>
      </xdr:txBody>
    </xdr:sp>
    <xdr:clientData/>
  </xdr:twoCellAnchor>
  <xdr:twoCellAnchor>
    <xdr:from>
      <xdr:col>18</xdr:col>
      <xdr:colOff>205740</xdr:colOff>
      <xdr:row>2</xdr:row>
      <xdr:rowOff>53340</xdr:rowOff>
    </xdr:from>
    <xdr:to>
      <xdr:col>19</xdr:col>
      <xdr:colOff>411480</xdr:colOff>
      <xdr:row>5</xdr:row>
      <xdr:rowOff>19664</xdr:rowOff>
    </xdr:to>
    <xdr:sp macro="" textlink="">
      <xdr:nvSpPr>
        <xdr:cNvPr id="15" name="Rectangle: Rounded Corners 14">
          <a:extLst>
            <a:ext uri="{FF2B5EF4-FFF2-40B4-BE49-F238E27FC236}">
              <a16:creationId xmlns:a16="http://schemas.microsoft.com/office/drawing/2014/main" id="{6AB4E176-CF5F-8048-71AB-9ED262BAB58A}"/>
            </a:ext>
          </a:extLst>
        </xdr:cNvPr>
        <xdr:cNvSpPr/>
      </xdr:nvSpPr>
      <xdr:spPr>
        <a:xfrm>
          <a:off x="11178540" y="419100"/>
          <a:ext cx="815340" cy="514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441960</xdr:colOff>
      <xdr:row>2</xdr:row>
      <xdr:rowOff>53340</xdr:rowOff>
    </xdr:from>
    <xdr:to>
      <xdr:col>21</xdr:col>
      <xdr:colOff>0</xdr:colOff>
      <xdr:row>5</xdr:row>
      <xdr:rowOff>27284</xdr:rowOff>
    </xdr:to>
    <xdr:sp macro="" textlink="">
      <xdr:nvSpPr>
        <xdr:cNvPr id="16" name="Rectangle: Rounded Corners 15">
          <a:extLst>
            <a:ext uri="{FF2B5EF4-FFF2-40B4-BE49-F238E27FC236}">
              <a16:creationId xmlns:a16="http://schemas.microsoft.com/office/drawing/2014/main" id="{A9E0C25A-B7AB-32EE-F4DF-C071F0B8CCE9}"/>
            </a:ext>
          </a:extLst>
        </xdr:cNvPr>
        <xdr:cNvSpPr/>
      </xdr:nvSpPr>
      <xdr:spPr>
        <a:xfrm>
          <a:off x="11414760" y="419100"/>
          <a:ext cx="1386840" cy="5225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baseline="0">
              <a:solidFill>
                <a:schemeClr val="tx1"/>
              </a:solidFill>
            </a:rPr>
            <a:t>Total 2021-26</a:t>
          </a:r>
        </a:p>
      </xdr:txBody>
    </xdr:sp>
    <xdr:clientData/>
  </xdr:twoCellAnchor>
  <xdr:twoCellAnchor>
    <xdr:from>
      <xdr:col>19</xdr:col>
      <xdr:colOff>0</xdr:colOff>
      <xdr:row>3</xdr:row>
      <xdr:rowOff>114300</xdr:rowOff>
    </xdr:from>
    <xdr:to>
      <xdr:col>20</xdr:col>
      <xdr:colOff>236220</xdr:colOff>
      <xdr:row>4</xdr:row>
      <xdr:rowOff>139338</xdr:rowOff>
    </xdr:to>
    <xdr:sp macro="" textlink="">
      <xdr:nvSpPr>
        <xdr:cNvPr id="17" name="Rectangle 16">
          <a:extLst>
            <a:ext uri="{FF2B5EF4-FFF2-40B4-BE49-F238E27FC236}">
              <a16:creationId xmlns:a16="http://schemas.microsoft.com/office/drawing/2014/main" id="{45209ADD-4019-0D3C-B73E-0E27D9656ADC}"/>
            </a:ext>
          </a:extLst>
        </xdr:cNvPr>
        <xdr:cNvSpPr/>
      </xdr:nvSpPr>
      <xdr:spPr>
        <a:xfrm>
          <a:off x="11582400" y="662940"/>
          <a:ext cx="845820" cy="2079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57,575</a:t>
          </a:r>
        </a:p>
      </xdr:txBody>
    </xdr:sp>
    <xdr:clientData/>
  </xdr:twoCellAnchor>
  <xdr:twoCellAnchor editAs="oneCell">
    <xdr:from>
      <xdr:col>4</xdr:col>
      <xdr:colOff>53340</xdr:colOff>
      <xdr:row>6</xdr:row>
      <xdr:rowOff>15241</xdr:rowOff>
    </xdr:from>
    <xdr:to>
      <xdr:col>6</xdr:col>
      <xdr:colOff>99060</xdr:colOff>
      <xdr:row>12</xdr:row>
      <xdr:rowOff>160020</xdr:rowOff>
    </xdr:to>
    <mc:AlternateContent xmlns:mc="http://schemas.openxmlformats.org/markup-compatibility/2006" xmlns:a14="http://schemas.microsoft.com/office/drawing/2010/main">
      <mc:Choice Requires="a14">
        <xdr:graphicFrame macro="">
          <xdr:nvGraphicFramePr>
            <xdr:cNvPr id="18" name="Year  15">
              <a:extLst>
                <a:ext uri="{FF2B5EF4-FFF2-40B4-BE49-F238E27FC236}">
                  <a16:creationId xmlns:a16="http://schemas.microsoft.com/office/drawing/2014/main" id="{263E5AD0-FE22-4898-A020-F6B5FCC161B0}"/>
                </a:ext>
              </a:extLst>
            </xdr:cNvPr>
            <xdr:cNvGraphicFramePr/>
          </xdr:nvGraphicFramePr>
          <xdr:xfrm>
            <a:off x="0" y="0"/>
            <a:ext cx="0" cy="0"/>
          </xdr:xfrm>
          <a:graphic>
            <a:graphicData uri="http://schemas.microsoft.com/office/drawing/2010/slicer">
              <sle:slicer xmlns:sle="http://schemas.microsoft.com/office/drawing/2010/slicer" name="Year  15"/>
            </a:graphicData>
          </a:graphic>
        </xdr:graphicFrame>
      </mc:Choice>
      <mc:Fallback xmlns="">
        <xdr:sp macro="" textlink="">
          <xdr:nvSpPr>
            <xdr:cNvPr id="0" name=""/>
            <xdr:cNvSpPr>
              <a:spLocks noTextEdit="1"/>
            </xdr:cNvSpPr>
          </xdr:nvSpPr>
          <xdr:spPr>
            <a:xfrm>
              <a:off x="2491740" y="1112521"/>
              <a:ext cx="126492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xdr:colOff>
      <xdr:row>13</xdr:row>
      <xdr:rowOff>15240</xdr:rowOff>
    </xdr:from>
    <xdr:to>
      <xdr:col>6</xdr:col>
      <xdr:colOff>129540</xdr:colOff>
      <xdr:row>29</xdr:row>
      <xdr:rowOff>83820</xdr:rowOff>
    </xdr:to>
    <mc:AlternateContent xmlns:mc="http://schemas.openxmlformats.org/markup-compatibility/2006" xmlns:a14="http://schemas.microsoft.com/office/drawing/2010/main">
      <mc:Choice Requires="a14">
        <xdr:graphicFrame macro="">
          <xdr:nvGraphicFramePr>
            <xdr:cNvPr id="19" name="Month 15">
              <a:extLst>
                <a:ext uri="{FF2B5EF4-FFF2-40B4-BE49-F238E27FC236}">
                  <a16:creationId xmlns:a16="http://schemas.microsoft.com/office/drawing/2014/main" id="{C63B72FD-207C-4EDB-8B5B-F8AA8990D5F5}"/>
                </a:ext>
              </a:extLst>
            </xdr:cNvPr>
            <xdr:cNvGraphicFramePr/>
          </xdr:nvGraphicFramePr>
          <xdr:xfrm>
            <a:off x="0" y="0"/>
            <a:ext cx="0" cy="0"/>
          </xdr:xfrm>
          <a:graphic>
            <a:graphicData uri="http://schemas.microsoft.com/office/drawing/2010/slicer">
              <sle:slicer xmlns:sle="http://schemas.microsoft.com/office/drawing/2010/slicer" name="Month 15"/>
            </a:graphicData>
          </a:graphic>
        </xdr:graphicFrame>
      </mc:Choice>
      <mc:Fallback xmlns="">
        <xdr:sp macro="" textlink="">
          <xdr:nvSpPr>
            <xdr:cNvPr id="0" name=""/>
            <xdr:cNvSpPr>
              <a:spLocks noTextEdit="1"/>
            </xdr:cNvSpPr>
          </xdr:nvSpPr>
          <xdr:spPr>
            <a:xfrm>
              <a:off x="2499360" y="2392680"/>
              <a:ext cx="1287780" cy="2994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350520</xdr:colOff>
      <xdr:row>6</xdr:row>
      <xdr:rowOff>76200</xdr:rowOff>
    </xdr:from>
    <xdr:to>
      <xdr:col>14</xdr:col>
      <xdr:colOff>205740</xdr:colOff>
      <xdr:row>16</xdr:row>
      <xdr:rowOff>152400</xdr:rowOff>
    </xdr:to>
    <xdr:graphicFrame macro="">
      <xdr:nvGraphicFramePr>
        <xdr:cNvPr id="20" name="Chart 19">
          <a:extLst>
            <a:ext uri="{FF2B5EF4-FFF2-40B4-BE49-F238E27FC236}">
              <a16:creationId xmlns:a16="http://schemas.microsoft.com/office/drawing/2014/main" id="{DDAD688E-5008-464B-AE2B-25ACFF074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350520</xdr:colOff>
      <xdr:row>17</xdr:row>
      <xdr:rowOff>53340</xdr:rowOff>
    </xdr:from>
    <xdr:to>
      <xdr:col>21</xdr:col>
      <xdr:colOff>114300</xdr:colOff>
      <xdr:row>29</xdr:row>
      <xdr:rowOff>38100</xdr:rowOff>
    </xdr:to>
    <xdr:graphicFrame macro="">
      <xdr:nvGraphicFramePr>
        <xdr:cNvPr id="21" name="Chart 20">
          <a:extLst>
            <a:ext uri="{FF2B5EF4-FFF2-40B4-BE49-F238E27FC236}">
              <a16:creationId xmlns:a16="http://schemas.microsoft.com/office/drawing/2014/main" id="{36B75C28-EAFC-49E7-9952-E40307C70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274320</xdr:colOff>
      <xdr:row>7</xdr:row>
      <xdr:rowOff>106680</xdr:rowOff>
    </xdr:from>
    <xdr:to>
      <xdr:col>21</xdr:col>
      <xdr:colOff>144780</xdr:colOff>
      <xdr:row>16</xdr:row>
      <xdr:rowOff>175260</xdr:rowOff>
    </xdr:to>
    <xdr:graphicFrame macro="">
      <xdr:nvGraphicFramePr>
        <xdr:cNvPr id="22" name="Chart 21">
          <a:extLst>
            <a:ext uri="{FF2B5EF4-FFF2-40B4-BE49-F238E27FC236}">
              <a16:creationId xmlns:a16="http://schemas.microsoft.com/office/drawing/2014/main" id="{0B0C4BE7-7449-4C8E-9298-1DF745710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266700</xdr:colOff>
      <xdr:row>6</xdr:row>
      <xdr:rowOff>38100</xdr:rowOff>
    </xdr:from>
    <xdr:to>
      <xdr:col>21</xdr:col>
      <xdr:colOff>137160</xdr:colOff>
      <xdr:row>9</xdr:row>
      <xdr:rowOff>137159</xdr:rowOff>
    </xdr:to>
    <mc:AlternateContent xmlns:mc="http://schemas.openxmlformats.org/markup-compatibility/2006" xmlns:a14="http://schemas.microsoft.com/office/drawing/2010/main">
      <mc:Choice Requires="a14">
        <xdr:graphicFrame macro="">
          <xdr:nvGraphicFramePr>
            <xdr:cNvPr id="23" name="year 13">
              <a:extLst>
                <a:ext uri="{FF2B5EF4-FFF2-40B4-BE49-F238E27FC236}">
                  <a16:creationId xmlns:a16="http://schemas.microsoft.com/office/drawing/2014/main" id="{B4079B4B-228E-41D7-B11D-EC257F072AC4}"/>
                </a:ext>
              </a:extLst>
            </xdr:cNvPr>
            <xdr:cNvGraphicFramePr/>
          </xdr:nvGraphicFramePr>
          <xdr:xfrm>
            <a:off x="0" y="0"/>
            <a:ext cx="0" cy="0"/>
          </xdr:xfrm>
          <a:graphic>
            <a:graphicData uri="http://schemas.microsoft.com/office/drawing/2010/slicer">
              <sle:slicer xmlns:sle="http://schemas.microsoft.com/office/drawing/2010/slicer" name="year 13"/>
            </a:graphicData>
          </a:graphic>
        </xdr:graphicFrame>
      </mc:Choice>
      <mc:Fallback xmlns="">
        <xdr:sp macro="" textlink="">
          <xdr:nvSpPr>
            <xdr:cNvPr id="0" name=""/>
            <xdr:cNvSpPr>
              <a:spLocks noTextEdit="1"/>
            </xdr:cNvSpPr>
          </xdr:nvSpPr>
          <xdr:spPr>
            <a:xfrm>
              <a:off x="8801100" y="1135380"/>
              <a:ext cx="413766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284018</xdr:colOff>
      <xdr:row>3</xdr:row>
      <xdr:rowOff>110836</xdr:rowOff>
    </xdr:from>
    <xdr:to>
      <xdr:col>9</xdr:col>
      <xdr:colOff>523094</xdr:colOff>
      <xdr:row>4</xdr:row>
      <xdr:rowOff>138938</xdr:rowOff>
    </xdr:to>
    <xdr:sp macro="" textlink="">
      <xdr:nvSpPr>
        <xdr:cNvPr id="10" name="Rectangle 9">
          <a:extLst>
            <a:ext uri="{FF2B5EF4-FFF2-40B4-BE49-F238E27FC236}">
              <a16:creationId xmlns:a16="http://schemas.microsoft.com/office/drawing/2014/main" id="{EA831604-B854-45A4-AE94-9812F7C3454E}"/>
            </a:ext>
          </a:extLst>
        </xdr:cNvPr>
        <xdr:cNvSpPr/>
      </xdr:nvSpPr>
      <xdr:spPr>
        <a:xfrm>
          <a:off x="5160818" y="651163"/>
          <a:ext cx="848676" cy="2082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solidFill>
                <a:schemeClr val="tx1"/>
              </a:solidFill>
              <a:effectLst/>
              <a:latin typeface="+mn-lt"/>
              <a:ea typeface="+mn-ea"/>
              <a:cs typeface="+mn-cs"/>
            </a:rPr>
            <a:t>37,851</a:t>
          </a:r>
          <a:endParaRPr lang="en-IN" sz="1050">
            <a:solidFill>
              <a:schemeClr val="tx1"/>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0787035" createdVersion="8" refreshedVersion="8" minRefreshableVersion="3" recordCount="10" xr:uid="{5326786B-FB53-4862-8892-E4D0B733A4DC}">
  <cacheSource type="worksheet">
    <worksheetSource name="Table71617"/>
  </cacheSource>
  <cacheFields count="3">
    <cacheField name="year" numFmtId="0">
      <sharedItems count="5">
        <s v="2021-22"/>
        <s v="2022-23"/>
        <s v="2023-24"/>
        <s v="2024-25"/>
        <s v="2025-26"/>
      </sharedItems>
    </cacheField>
    <cacheField name="type" numFmtId="0">
      <sharedItems count="4">
        <s v="Xray"/>
        <s v="Xray in Bodycheckup"/>
        <s v="Specific" u="1"/>
        <s v="Bodycheckup_xray" u="1"/>
      </sharedItems>
    </cacheField>
    <cacheField name="total" numFmtId="0">
      <sharedItems containsSemiMixedTypes="0" containsString="0" containsNumber="1" containsInteger="1" minValue="3484" maxValue="7887"/>
    </cacheField>
  </cacheFields>
  <extLst>
    <ext xmlns:x14="http://schemas.microsoft.com/office/spreadsheetml/2009/9/main" uri="{725AE2AE-9491-48be-B2B4-4EB974FC3084}">
      <x14:pivotCacheDefinition pivotCacheId="17455813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1249997" createdVersion="8" refreshedVersion="8" minRefreshableVersion="3" recordCount="10" xr:uid="{92094CEE-6B0E-4D97-B1D9-EED6D80EB41F}">
  <cacheSource type="worksheet">
    <worksheetSource name="Table716"/>
  </cacheSource>
  <cacheFields count="3">
    <cacheField name="year" numFmtId="0">
      <sharedItems count="5">
        <s v="2021-22"/>
        <s v="2022-23"/>
        <s v="2023-24"/>
        <s v="2024-25"/>
        <s v="2025-26"/>
      </sharedItems>
    </cacheField>
    <cacheField name="type" numFmtId="0">
      <sharedItems count="4">
        <s v="Sonography"/>
        <s v="Sonography in Bodycheckup"/>
        <s v="Specific" u="1"/>
        <s v="Bodycheckup_Sonography" u="1"/>
      </sharedItems>
    </cacheField>
    <cacheField name="total" numFmtId="0">
      <sharedItems containsSemiMixedTypes="0" containsString="0" containsNumber="1" containsInteger="1" minValue="2896" maxValue="10738"/>
    </cacheField>
  </cacheFields>
  <extLst>
    <ext xmlns:x14="http://schemas.microsoft.com/office/spreadsheetml/2009/9/main" uri="{725AE2AE-9491-48be-B2B4-4EB974FC3084}">
      <x14:pivotCacheDefinition pivotCacheId="174214613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1481482" createdVersion="8" refreshedVersion="8" minRefreshableVersion="3" recordCount="10" xr:uid="{955531E1-2B83-4A39-AA1F-39360368420D}">
  <cacheSource type="worksheet">
    <worksheetSource name="Table7912"/>
  </cacheSource>
  <cacheFields count="3">
    <cacheField name="year" numFmtId="0">
      <sharedItems count="5">
        <s v="2021-22"/>
        <s v="2022-23"/>
        <s v="2023-24"/>
        <s v="2024-25"/>
        <s v="2025-26"/>
      </sharedItems>
    </cacheField>
    <cacheField name="type" numFmtId="0">
      <sharedItems count="2">
        <s v="kjss"/>
        <s v="non kjss"/>
      </sharedItems>
    </cacheField>
    <cacheField name="total" numFmtId="0">
      <sharedItems containsSemiMixedTypes="0" containsString="0" containsNumber="1" containsInteger="1" minValue="166" maxValue="10735"/>
    </cacheField>
  </cacheFields>
  <extLst>
    <ext xmlns:x14="http://schemas.microsoft.com/office/spreadsheetml/2009/9/main" uri="{725AE2AE-9491-48be-B2B4-4EB974FC3084}">
      <x14:pivotCacheDefinition pivotCacheId="59445277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1597221" createdVersion="8" refreshedVersion="8" minRefreshableVersion="3" recordCount="540" xr:uid="{7C51C54E-4F56-436D-933E-F257764BC7CE}">
  <cacheSource type="worksheet">
    <worksheetSource name="Table3"/>
  </cacheSource>
  <cacheFields count="5">
    <cacheField name="Year " numFmtId="0">
      <sharedItems count="5">
        <s v="2021-22"/>
        <s v="2022-23"/>
        <s v="2023-24"/>
        <s v="2024-25"/>
        <s v="2025-26"/>
      </sharedItems>
    </cacheField>
    <cacheField name="Month" numFmtId="0">
      <sharedItems count="12">
        <s v="April"/>
        <s v="May"/>
        <s v="June"/>
        <s v="July"/>
        <s v="August"/>
        <s v="September"/>
        <s v="October"/>
        <s v="November"/>
        <s v="December"/>
        <s v="January"/>
        <s v="February"/>
        <s v="March"/>
      </sharedItems>
    </cacheField>
    <cacheField name="Month Num" numFmtId="0">
      <sharedItems containsSemiMixedTypes="0" containsString="0" containsNumber="1" containsInteger="1" minValue="1" maxValue="12" count="12">
        <n v="1"/>
        <n v="2"/>
        <n v="3"/>
        <n v="4"/>
        <n v="5"/>
        <n v="6"/>
        <n v="7"/>
        <n v="8"/>
        <n v="9"/>
        <n v="10"/>
        <n v="11"/>
        <n v="12"/>
      </sharedItems>
    </cacheField>
    <cacheField name="Service " numFmtId="0">
      <sharedItems count="9">
        <s v="Body Checkup"/>
        <s v="Sonography"/>
        <s v="X-ray"/>
        <s v="Dental"/>
        <s v="2D Echo"/>
        <s v="TMT"/>
        <s v="Mamo"/>
        <s v="Doppler"/>
        <s v="Pathology"/>
      </sharedItems>
    </cacheField>
    <cacheField name="Count" numFmtId="0">
      <sharedItems containsSemiMixedTypes="0" containsString="0" containsNumber="1" containsInteger="1" minValue="0" maxValue="4084"/>
    </cacheField>
  </cacheFields>
  <extLst>
    <ext xmlns:x14="http://schemas.microsoft.com/office/spreadsheetml/2009/9/main" uri="{725AE2AE-9491-48be-B2B4-4EB974FC3084}">
      <x14:pivotCacheDefinition pivotCacheId="212486048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2175928" createdVersion="8" refreshedVersion="8" minRefreshableVersion="3" recordCount="60" xr:uid="{99526915-9382-4AFF-BB8B-4CCE776D0D1B}">
  <cacheSource type="worksheet">
    <worksheetSource name="Table515"/>
  </cacheSource>
  <cacheFields count="6">
    <cacheField name="Year " numFmtId="0">
      <sharedItems count="5">
        <s v="2021-22"/>
        <s v="2022-23"/>
        <s v="2023-24"/>
        <s v="2024-25"/>
        <s v="2025-26"/>
      </sharedItems>
    </cacheField>
    <cacheField name="Month" numFmtId="0">
      <sharedItems count="12">
        <s v="April"/>
        <s v="May"/>
        <s v="June"/>
        <s v="July"/>
        <s v="August"/>
        <s v="September"/>
        <s v="October"/>
        <s v="November"/>
        <s v="December"/>
        <s v="January"/>
        <s v="February"/>
        <s v="March"/>
      </sharedItems>
    </cacheField>
    <cacheField name="Month Num" numFmtId="0">
      <sharedItems containsSemiMixedTypes="0" containsString="0" containsNumber="1" containsInteger="1" minValue="1" maxValue="12" count="12">
        <n v="1"/>
        <n v="2"/>
        <n v="3"/>
        <n v="4"/>
        <n v="5"/>
        <n v="6"/>
        <n v="7"/>
        <n v="8"/>
        <n v="9"/>
        <n v="10"/>
        <n v="11"/>
        <n v="12"/>
      </sharedItems>
    </cacheField>
    <cacheField name="Specific" numFmtId="0">
      <sharedItems containsSemiMixedTypes="0" containsString="0" containsNumber="1" containsInteger="1" minValue="396" maxValue="832"/>
    </cacheField>
    <cacheField name="Bodycheckup_Xray" numFmtId="0">
      <sharedItems containsSemiMixedTypes="0" containsString="0" containsNumber="1" containsInteger="1" minValue="115" maxValue="594"/>
    </cacheField>
    <cacheField name="Total" numFmtId="0">
      <sharedItems containsSemiMixedTypes="0" containsString="0" containsNumber="1" containsInteger="1" minValue="532" maxValue="1426"/>
    </cacheField>
  </cacheFields>
  <extLst>
    <ext xmlns:x14="http://schemas.microsoft.com/office/spreadsheetml/2009/9/main" uri="{725AE2AE-9491-48be-B2B4-4EB974FC3084}">
      <x14:pivotCacheDefinition pivotCacheId="1156814978"/>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2523152" createdVersion="8" refreshedVersion="8" minRefreshableVersion="3" recordCount="60" xr:uid="{C3B6AF1C-D277-4F5A-B67C-AD7E00DCA13F}">
  <cacheSource type="worksheet">
    <worksheetSource name="Table411"/>
  </cacheSource>
  <cacheFields count="6">
    <cacheField name="Year " numFmtId="0">
      <sharedItems count="5">
        <s v="2021-22"/>
        <s v="2022-23"/>
        <s v="2023-24"/>
        <s v="2024-25"/>
        <s v="2025-26"/>
      </sharedItems>
    </cacheField>
    <cacheField name="Month" numFmtId="0">
      <sharedItems count="12">
        <s v="April"/>
        <s v="May"/>
        <s v="June"/>
        <s v="July"/>
        <s v="August"/>
        <s v="September"/>
        <s v="October"/>
        <s v="November"/>
        <s v="December"/>
        <s v="January"/>
        <s v="February"/>
        <s v="March"/>
      </sharedItems>
    </cacheField>
    <cacheField name="Month Num" numFmtId="0">
      <sharedItems containsSemiMixedTypes="0" containsString="0" containsNumber="1" containsInteger="1" minValue="1" maxValue="12" count="12">
        <n v="1"/>
        <n v="2"/>
        <n v="3"/>
        <n v="4"/>
        <n v="5"/>
        <n v="6"/>
        <n v="7"/>
        <n v="8"/>
        <n v="9"/>
        <n v="10"/>
        <n v="11"/>
        <n v="12"/>
      </sharedItems>
    </cacheField>
    <cacheField name="Specific" numFmtId="0">
      <sharedItems containsSemiMixedTypes="0" containsString="0" containsNumber="1" containsInteger="1" minValue="587" maxValue="1107"/>
    </cacheField>
    <cacheField name="Bodycheckup_Sonography" numFmtId="0">
      <sharedItems containsSemiMixedTypes="0" containsString="0" containsNumber="1" containsInteger="1" minValue="67" maxValue="456"/>
    </cacheField>
    <cacheField name="Total" numFmtId="0">
      <sharedItems containsSemiMixedTypes="0" containsString="0" containsNumber="1" containsInteger="1" minValue="769" maxValue="1550"/>
    </cacheField>
  </cacheFields>
  <extLst>
    <ext xmlns:x14="http://schemas.microsoft.com/office/spreadsheetml/2009/9/main" uri="{725AE2AE-9491-48be-B2B4-4EB974FC3084}">
      <x14:pivotCacheDefinition pivotCacheId="759465886"/>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3217591" createdVersion="8" refreshedVersion="8" minRefreshableVersion="3" recordCount="60" xr:uid="{005F2724-14ED-4CE8-8005-31497EB08DA5}">
  <cacheSource type="worksheet">
    <worksheetSource ref="A1:G61" sheet="Dental"/>
  </cacheSource>
  <cacheFields count="7">
    <cacheField name="Year " numFmtId="0">
      <sharedItems count="5">
        <s v="2021-22"/>
        <s v="2022-23"/>
        <s v="2023-24"/>
        <s v="2024-25"/>
        <s v="2025-26"/>
      </sharedItems>
    </cacheField>
    <cacheField name="Month" numFmtId="0">
      <sharedItems count="12">
        <s v="April"/>
        <s v="May"/>
        <s v="June"/>
        <s v="July"/>
        <s v="August"/>
        <s v="September"/>
        <s v="October"/>
        <s v="November"/>
        <s v="December"/>
        <s v="January"/>
        <s v="February"/>
        <s v="March"/>
      </sharedItems>
    </cacheField>
    <cacheField name="Month Num" numFmtId="0">
      <sharedItems containsSemiMixedTypes="0" containsString="0" containsNumber="1" containsInteger="1" minValue="1" maxValue="12" count="12">
        <n v="1"/>
        <n v="2"/>
        <n v="3"/>
        <n v="4"/>
        <n v="5"/>
        <n v="6"/>
        <n v="7"/>
        <n v="8"/>
        <n v="9"/>
        <n v="10"/>
        <n v="11"/>
        <n v="12"/>
      </sharedItems>
    </cacheField>
    <cacheField name="Service " numFmtId="0">
      <sharedItems/>
    </cacheField>
    <cacheField name="Count " numFmtId="0">
      <sharedItems containsSemiMixedTypes="0" containsString="0" containsNumber="1" containsInteger="1" minValue="220" maxValue="587"/>
    </cacheField>
    <cacheField name="kjss" numFmtId="0">
      <sharedItems containsSemiMixedTypes="0" containsString="0" containsNumber="1" containsInteger="1" minValue="21" maxValue="118"/>
    </cacheField>
    <cacheField name="non kjss" numFmtId="0">
      <sharedItems containsSemiMixedTypes="0" containsString="0" containsNumber="1" containsInteger="1" minValue="197" maxValue="472"/>
    </cacheField>
  </cacheFields>
  <extLst>
    <ext xmlns:x14="http://schemas.microsoft.com/office/spreadsheetml/2009/9/main" uri="{725AE2AE-9491-48be-B2B4-4EB974FC3084}">
      <x14:pivotCacheDefinition pivotCacheId="668099193"/>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3564814" createdVersion="8" refreshedVersion="8" minRefreshableVersion="3" recordCount="60" xr:uid="{8C188672-EAA4-4DC2-BFC0-2EE0785A577F}">
  <cacheSource type="worksheet">
    <worksheetSource ref="A1:G61" sheet="Xray"/>
  </cacheSource>
  <cacheFields count="7">
    <cacheField name="Year " numFmtId="0">
      <sharedItems count="5">
        <s v="2021-22"/>
        <s v="2022-23"/>
        <s v="2023-24"/>
        <s v="2024-25"/>
        <s v="2025-26"/>
      </sharedItems>
    </cacheField>
    <cacheField name="Month" numFmtId="0">
      <sharedItems count="12">
        <s v="April"/>
        <s v="May"/>
        <s v="June"/>
        <s v="July"/>
        <s v="August"/>
        <s v="September"/>
        <s v="October"/>
        <s v="November"/>
        <s v="December"/>
        <s v="January"/>
        <s v="February"/>
        <s v="March"/>
      </sharedItems>
    </cacheField>
    <cacheField name="Month Num" numFmtId="0">
      <sharedItems containsSemiMixedTypes="0" containsString="0" containsNumber="1" containsInteger="1" minValue="1" maxValue="12" count="12">
        <n v="1"/>
        <n v="2"/>
        <n v="3"/>
        <n v="4"/>
        <n v="5"/>
        <n v="6"/>
        <n v="7"/>
        <n v="8"/>
        <n v="9"/>
        <n v="10"/>
        <n v="11"/>
        <n v="12"/>
      </sharedItems>
    </cacheField>
    <cacheField name="Service " numFmtId="0">
      <sharedItems/>
    </cacheField>
    <cacheField name="Count " numFmtId="0">
      <sharedItems containsSemiMixedTypes="0" containsString="0" containsNumber="1" containsInteger="1" minValue="396" maxValue="832"/>
    </cacheField>
    <cacheField name="kjss" numFmtId="0">
      <sharedItems containsSemiMixedTypes="0" containsString="0" containsNumber="1" containsInteger="1" minValue="14" maxValue="57"/>
    </cacheField>
    <cacheField name="non kjss" numFmtId="0">
      <sharedItems containsSemiMixedTypes="0" containsString="0" containsNumber="1" containsInteger="1" minValue="376" maxValue="782"/>
    </cacheField>
  </cacheFields>
  <extLst>
    <ext xmlns:x14="http://schemas.microsoft.com/office/spreadsheetml/2009/9/main" uri="{725AE2AE-9491-48be-B2B4-4EB974FC3084}">
      <x14:pivotCacheDefinition pivotCacheId="319337466"/>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3912037" createdVersion="8" refreshedVersion="8" minRefreshableVersion="3" recordCount="60" xr:uid="{EDE43FBF-697E-40A1-9BA1-D5148E56E0A3}">
  <cacheSource type="worksheet">
    <worksheetSource name="Table9"/>
  </cacheSource>
  <cacheFields count="7">
    <cacheField name="Year " numFmtId="0">
      <sharedItems count="5">
        <s v="2021-22"/>
        <s v="2022-23"/>
        <s v="2023-24"/>
        <s v="2024-25"/>
        <s v="2025-26"/>
      </sharedItems>
    </cacheField>
    <cacheField name="Month" numFmtId="0">
      <sharedItems count="12">
        <s v="April"/>
        <s v="May"/>
        <s v="June"/>
        <s v="July"/>
        <s v="August"/>
        <s v="September"/>
        <s v="October"/>
        <s v="November"/>
        <s v="December"/>
        <s v="January"/>
        <s v="February"/>
        <s v="March"/>
      </sharedItems>
    </cacheField>
    <cacheField name="Month Num" numFmtId="0">
      <sharedItems containsSemiMixedTypes="0" containsString="0" containsNumber="1" containsInteger="1" minValue="1" maxValue="12" count="12">
        <n v="1"/>
        <n v="2"/>
        <n v="3"/>
        <n v="4"/>
        <n v="5"/>
        <n v="6"/>
        <n v="7"/>
        <n v="8"/>
        <n v="9"/>
        <n v="10"/>
        <n v="11"/>
        <n v="12"/>
      </sharedItems>
    </cacheField>
    <cacheField name="Service " numFmtId="0">
      <sharedItems/>
    </cacheField>
    <cacheField name="Count " numFmtId="0">
      <sharedItems containsSemiMixedTypes="0" containsString="0" containsNumber="1" containsInteger="1" minValue="587" maxValue="1107"/>
    </cacheField>
    <cacheField name="kjss" numFmtId="0">
      <sharedItems containsSemiMixedTypes="0" containsString="0" containsNumber="1" containsInteger="1" minValue="4" maxValue="25"/>
    </cacheField>
    <cacheField name="non kjss" numFmtId="0">
      <sharedItems containsSemiMixedTypes="0" containsString="0" containsNumber="1" containsInteger="1" minValue="568" maxValue="1091"/>
    </cacheField>
  </cacheFields>
  <extLst>
    <ext xmlns:x14="http://schemas.microsoft.com/office/spreadsheetml/2009/9/main" uri="{725AE2AE-9491-48be-B2B4-4EB974FC3084}">
      <x14:pivotCacheDefinition pivotCacheId="882546935"/>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4259261" createdVersion="8" refreshedVersion="8" minRefreshableVersion="3" recordCount="10" xr:uid="{0CA0FDE3-CDC7-4D44-B684-D60AC271BCF9}">
  <cacheSource type="worksheet">
    <worksheetSource name="Table7"/>
  </cacheSource>
  <cacheFields count="3">
    <cacheField name="year" numFmtId="0">
      <sharedItems count="5">
        <s v="2021-22"/>
        <s v="2022-23"/>
        <s v="2023-24"/>
        <s v="2024-25"/>
        <s v="2025-26"/>
      </sharedItems>
    </cacheField>
    <cacheField name="type" numFmtId="0">
      <sharedItems count="2">
        <s v="kjss"/>
        <s v="non kjss"/>
      </sharedItems>
    </cacheField>
    <cacheField name="total" numFmtId="0">
      <sharedItems containsSemiMixedTypes="0" containsString="0" containsNumber="1" containsInteger="1" minValue="412" maxValue="3815"/>
    </cacheField>
  </cacheFields>
  <extLst>
    <ext xmlns:x14="http://schemas.microsoft.com/office/spreadsheetml/2009/9/main" uri="{725AE2AE-9491-48be-B2B4-4EB974FC3084}">
      <x14:pivotCacheDefinition pivotCacheId="1123910974"/>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4490738" createdVersion="8" refreshedVersion="8" minRefreshableVersion="3" recordCount="60" xr:uid="{C7DAC804-3A82-43A5-97A3-6994D81DFB42}">
  <cacheSource type="worksheet">
    <worksheetSource name="Table1"/>
  </cacheSource>
  <cacheFields count="7">
    <cacheField name="Year " numFmtId="0">
      <sharedItems count="5">
        <s v="2021-22"/>
        <s v="2022-23"/>
        <s v="2023-24"/>
        <s v="2024-25"/>
        <s v="2025-26"/>
      </sharedItems>
    </cacheField>
    <cacheField name="Month" numFmtId="0">
      <sharedItems count="12">
        <s v="April"/>
        <s v="May"/>
        <s v="June"/>
        <s v="July"/>
        <s v="August"/>
        <s v="September"/>
        <s v="October"/>
        <s v="November"/>
        <s v="December"/>
        <s v="January"/>
        <s v="February"/>
        <s v="March"/>
      </sharedItems>
    </cacheField>
    <cacheField name="Month Num" numFmtId="0">
      <sharedItems containsSemiMixedTypes="0" containsString="0" containsNumber="1" containsInteger="1" minValue="1" maxValue="12" count="12">
        <n v="1"/>
        <n v="2"/>
        <n v="3"/>
        <n v="4"/>
        <n v="5"/>
        <n v="6"/>
        <n v="7"/>
        <n v="8"/>
        <n v="9"/>
        <n v="10"/>
        <n v="11"/>
        <n v="12"/>
      </sharedItems>
    </cacheField>
    <cacheField name="Service " numFmtId="0">
      <sharedItems/>
    </cacheField>
    <cacheField name="Count " numFmtId="0">
      <sharedItems containsSemiMixedTypes="0" containsString="0" containsNumber="1" containsInteger="1" minValue="0" maxValue="84"/>
    </cacheField>
    <cacheField name="kjss" numFmtId="0">
      <sharedItems containsSemiMixedTypes="0" containsString="0" containsNumber="1" containsInteger="1" minValue="0" maxValue="70"/>
    </cacheField>
    <cacheField name="non kjss" numFmtId="0">
      <sharedItems containsSemiMixedTypes="0" containsString="0" containsNumber="1" containsInteger="1" minValue="0" maxValue="70"/>
    </cacheField>
  </cacheFields>
  <extLst>
    <ext xmlns:x14="http://schemas.microsoft.com/office/spreadsheetml/2009/9/main" uri="{725AE2AE-9491-48be-B2B4-4EB974FC3084}">
      <x14:pivotCacheDefinition pivotCacheId="832737070"/>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4953707" createdVersion="8" refreshedVersion="8" minRefreshableVersion="3" recordCount="60" xr:uid="{9EE617DC-F2BF-43A1-8A05-22CD634E6630}">
  <cacheSource type="worksheet">
    <worksheetSource ref="A1:G61" sheet="bodycheckup"/>
  </cacheSource>
  <cacheFields count="7">
    <cacheField name="Year " numFmtId="0">
      <sharedItems count="5">
        <s v="2021-22"/>
        <s v="2022-23"/>
        <s v="2023-24"/>
        <s v="2024-25"/>
        <s v="2025-26"/>
      </sharedItems>
    </cacheField>
    <cacheField name="Month" numFmtId="0">
      <sharedItems count="12">
        <s v="April"/>
        <s v="May"/>
        <s v="June"/>
        <s v="July"/>
        <s v="August"/>
        <s v="September"/>
        <s v="October"/>
        <s v="November"/>
        <s v="December"/>
        <s v="January"/>
        <s v="February"/>
        <s v="March"/>
      </sharedItems>
    </cacheField>
    <cacheField name="Month Num" numFmtId="0">
      <sharedItems containsSemiMixedTypes="0" containsString="0" containsNumber="1" containsInteger="1" minValue="1" maxValue="12" count="12">
        <n v="1"/>
        <n v="2"/>
        <n v="3"/>
        <n v="4"/>
        <n v="5"/>
        <n v="6"/>
        <n v="7"/>
        <n v="8"/>
        <n v="9"/>
        <n v="10"/>
        <n v="11"/>
        <n v="12"/>
      </sharedItems>
    </cacheField>
    <cacheField name="Service " numFmtId="0">
      <sharedItems/>
    </cacheField>
    <cacheField name="Count " numFmtId="0">
      <sharedItems containsSemiMixedTypes="0" containsString="0" containsNumber="1" containsInteger="1" minValue="105" maxValue="594"/>
    </cacheField>
    <cacheField name="kjss" numFmtId="0">
      <sharedItems containsSemiMixedTypes="0" containsString="0" containsNumber="1" containsInteger="1" minValue="10" maxValue="169"/>
    </cacheField>
    <cacheField name="non kjss" numFmtId="0">
      <sharedItems containsSemiMixedTypes="0" containsString="0" containsNumber="1" containsInteger="1" minValue="95" maxValue="464"/>
    </cacheField>
  </cacheFields>
  <extLst>
    <ext xmlns:x14="http://schemas.microsoft.com/office/spreadsheetml/2009/9/main" uri="{725AE2AE-9491-48be-B2B4-4EB974FC3084}">
      <x14:pivotCacheDefinition pivotCacheId="895914305"/>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5185184" createdVersion="8" refreshedVersion="8" minRefreshableVersion="3" recordCount="10" xr:uid="{2667143D-D2EA-4087-8D91-755C94017F4B}">
  <cacheSource type="worksheet">
    <worksheetSource name="Table791213"/>
  </cacheSource>
  <cacheFields count="3">
    <cacheField name="year" numFmtId="0">
      <sharedItems count="5">
        <s v="2021-22"/>
        <s v="2022-23"/>
        <s v="2023-24"/>
        <s v="2024-25"/>
        <s v="2025-26"/>
      </sharedItems>
    </cacheField>
    <cacheField name="type" numFmtId="0">
      <sharedItems count="2">
        <s v="kjss"/>
        <s v="non kjss"/>
      </sharedItems>
    </cacheField>
    <cacheField name="total" numFmtId="0">
      <sharedItems containsSemiMixedTypes="0" containsString="0" containsNumber="1" containsInteger="1" minValue="329" maxValue="7643"/>
    </cacheField>
  </cacheFields>
  <extLst>
    <ext xmlns:x14="http://schemas.microsoft.com/office/spreadsheetml/2009/9/main" uri="{725AE2AE-9491-48be-B2B4-4EB974FC3084}">
      <x14:pivotCacheDefinition pivotCacheId="1492587914"/>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1985416669" createdVersion="8" refreshedVersion="8" minRefreshableVersion="3" recordCount="10" xr:uid="{78CD2FDC-AB9F-4EED-A94D-2AFF2991966B}">
  <cacheSource type="worksheet">
    <worksheetSource name="Table79"/>
  </cacheSource>
  <cacheFields count="3">
    <cacheField name="year" numFmtId="0">
      <sharedItems count="5">
        <s v="2021-22"/>
        <s v="2022-23"/>
        <s v="2023-24"/>
        <s v="2024-25"/>
        <s v="2025-26"/>
      </sharedItems>
    </cacheField>
    <cacheField name="type" numFmtId="0">
      <sharedItems count="2">
        <s v="kjss"/>
        <s v="non kjss"/>
      </sharedItems>
    </cacheField>
    <cacheField name="total" numFmtId="0">
      <sharedItems containsSemiMixedTypes="0" containsString="0" containsNumber="1" containsInteger="1" minValue="0" maxValue="420"/>
    </cacheField>
  </cacheFields>
  <extLst>
    <ext xmlns:x14="http://schemas.microsoft.com/office/spreadsheetml/2009/9/main" uri="{725AE2AE-9491-48be-B2B4-4EB974FC3084}">
      <x14:pivotCacheDefinition pivotCacheId="344484159"/>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4.402727546294" createdVersion="8" refreshedVersion="8" minRefreshableVersion="3" recordCount="10" xr:uid="{6C1AEC8C-8A4E-45F8-B14A-17C6349ADE00}">
  <cacheSource type="worksheet">
    <worksheetSource name="Table79121314"/>
  </cacheSource>
  <cacheFields count="3">
    <cacheField name="year" numFmtId="0">
      <sharedItems count="5">
        <s v="2021-22"/>
        <s v="2022-23"/>
        <s v="2023-24"/>
        <s v="2024-25"/>
        <s v="2025-26"/>
      </sharedItems>
    </cacheField>
    <cacheField name="type" numFmtId="0">
      <sharedItems count="2">
        <s v="kjss"/>
        <s v="non kjss"/>
      </sharedItems>
    </cacheField>
    <cacheField name="total" numFmtId="0">
      <sharedItems containsSemiMixedTypes="0" containsString="0" containsNumber="1" containsInteger="1" minValue="601" maxValue="4536"/>
    </cacheField>
  </cacheFields>
  <extLst>
    <ext xmlns:x14="http://schemas.microsoft.com/office/spreadsheetml/2009/9/main" uri="{725AE2AE-9491-48be-B2B4-4EB974FC3084}">
      <x14:pivotCacheDefinition pivotCacheId="1942532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7138"/>
  </r>
  <r>
    <x v="0"/>
    <x v="1"/>
    <n v="3678"/>
  </r>
  <r>
    <x v="1"/>
    <x v="0"/>
    <n v="7785"/>
  </r>
  <r>
    <x v="1"/>
    <x v="1"/>
    <n v="4173"/>
  </r>
  <r>
    <x v="2"/>
    <x v="0"/>
    <n v="7887"/>
  </r>
  <r>
    <x v="2"/>
    <x v="1"/>
    <n v="4341"/>
  </r>
  <r>
    <x v="3"/>
    <x v="0"/>
    <n v="7453"/>
  </r>
  <r>
    <x v="3"/>
    <x v="1"/>
    <n v="4048"/>
  </r>
  <r>
    <x v="4"/>
    <x v="0"/>
    <n v="6791"/>
  </r>
  <r>
    <x v="4"/>
    <x v="1"/>
    <n v="34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10738"/>
  </r>
  <r>
    <x v="0"/>
    <x v="1"/>
    <n v="2896"/>
  </r>
  <r>
    <x v="1"/>
    <x v="0"/>
    <n v="10580"/>
  </r>
  <r>
    <x v="1"/>
    <x v="1"/>
    <n v="3439"/>
  </r>
  <r>
    <x v="2"/>
    <x v="0"/>
    <n v="10698"/>
  </r>
  <r>
    <x v="2"/>
    <x v="1"/>
    <n v="3517"/>
  </r>
  <r>
    <x v="3"/>
    <x v="0"/>
    <n v="10313"/>
  </r>
  <r>
    <x v="3"/>
    <x v="1"/>
    <n v="3776"/>
  </r>
  <r>
    <x v="4"/>
    <x v="0"/>
    <n v="10002"/>
  </r>
  <r>
    <x v="4"/>
    <x v="1"/>
    <n v="30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166"/>
  </r>
  <r>
    <x v="0"/>
    <x v="1"/>
    <n v="10735"/>
  </r>
  <r>
    <x v="1"/>
    <x v="0"/>
    <n v="227"/>
  </r>
  <r>
    <x v="1"/>
    <x v="1"/>
    <n v="10574"/>
  </r>
  <r>
    <x v="2"/>
    <x v="0"/>
    <n v="219"/>
  </r>
  <r>
    <x v="2"/>
    <x v="1"/>
    <n v="10727"/>
  </r>
  <r>
    <x v="3"/>
    <x v="0"/>
    <n v="168"/>
  </r>
  <r>
    <x v="3"/>
    <x v="1"/>
    <n v="10354"/>
  </r>
  <r>
    <x v="4"/>
    <x v="0"/>
    <n v="203"/>
  </r>
  <r>
    <x v="4"/>
    <x v="1"/>
    <n v="1001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x v="0"/>
    <x v="0"/>
    <n v="105"/>
  </r>
  <r>
    <x v="0"/>
    <x v="1"/>
    <x v="1"/>
    <x v="0"/>
    <n v="133"/>
  </r>
  <r>
    <x v="0"/>
    <x v="2"/>
    <x v="2"/>
    <x v="0"/>
    <n v="317"/>
  </r>
  <r>
    <x v="0"/>
    <x v="3"/>
    <x v="3"/>
    <x v="0"/>
    <n v="358"/>
  </r>
  <r>
    <x v="0"/>
    <x v="4"/>
    <x v="4"/>
    <x v="0"/>
    <n v="321"/>
  </r>
  <r>
    <x v="0"/>
    <x v="5"/>
    <x v="5"/>
    <x v="0"/>
    <n v="374"/>
  </r>
  <r>
    <x v="0"/>
    <x v="6"/>
    <x v="6"/>
    <x v="0"/>
    <n v="364"/>
  </r>
  <r>
    <x v="0"/>
    <x v="7"/>
    <x v="7"/>
    <x v="0"/>
    <n v="229"/>
  </r>
  <r>
    <x v="0"/>
    <x v="8"/>
    <x v="8"/>
    <x v="0"/>
    <n v="319"/>
  </r>
  <r>
    <x v="0"/>
    <x v="9"/>
    <x v="9"/>
    <x v="0"/>
    <n v="232"/>
  </r>
  <r>
    <x v="0"/>
    <x v="10"/>
    <x v="10"/>
    <x v="0"/>
    <n v="402"/>
  </r>
  <r>
    <x v="0"/>
    <x v="11"/>
    <x v="11"/>
    <x v="0"/>
    <n v="562"/>
  </r>
  <r>
    <x v="1"/>
    <x v="0"/>
    <x v="0"/>
    <x v="0"/>
    <n v="376"/>
  </r>
  <r>
    <x v="1"/>
    <x v="1"/>
    <x v="1"/>
    <x v="0"/>
    <n v="352"/>
  </r>
  <r>
    <x v="1"/>
    <x v="2"/>
    <x v="2"/>
    <x v="0"/>
    <n v="389"/>
  </r>
  <r>
    <x v="1"/>
    <x v="3"/>
    <x v="3"/>
    <x v="0"/>
    <n v="297"/>
  </r>
  <r>
    <x v="1"/>
    <x v="4"/>
    <x v="4"/>
    <x v="0"/>
    <n v="356"/>
  </r>
  <r>
    <x v="1"/>
    <x v="5"/>
    <x v="5"/>
    <x v="0"/>
    <n v="368"/>
  </r>
  <r>
    <x v="1"/>
    <x v="6"/>
    <x v="6"/>
    <x v="0"/>
    <n v="228"/>
  </r>
  <r>
    <x v="1"/>
    <x v="7"/>
    <x v="7"/>
    <x v="0"/>
    <n v="346"/>
  </r>
  <r>
    <x v="1"/>
    <x v="8"/>
    <x v="8"/>
    <x v="0"/>
    <n v="388"/>
  </r>
  <r>
    <x v="1"/>
    <x v="9"/>
    <x v="9"/>
    <x v="0"/>
    <n v="255"/>
  </r>
  <r>
    <x v="1"/>
    <x v="10"/>
    <x v="10"/>
    <x v="0"/>
    <n v="404"/>
  </r>
  <r>
    <x v="1"/>
    <x v="11"/>
    <x v="11"/>
    <x v="0"/>
    <n v="547"/>
  </r>
  <r>
    <x v="2"/>
    <x v="0"/>
    <x v="0"/>
    <x v="0"/>
    <n v="369"/>
  </r>
  <r>
    <x v="2"/>
    <x v="1"/>
    <x v="1"/>
    <x v="0"/>
    <n v="398"/>
  </r>
  <r>
    <x v="2"/>
    <x v="2"/>
    <x v="2"/>
    <x v="0"/>
    <n v="349"/>
  </r>
  <r>
    <x v="2"/>
    <x v="3"/>
    <x v="3"/>
    <x v="0"/>
    <n v="342"/>
  </r>
  <r>
    <x v="2"/>
    <x v="4"/>
    <x v="4"/>
    <x v="0"/>
    <n v="306"/>
  </r>
  <r>
    <x v="2"/>
    <x v="5"/>
    <x v="5"/>
    <x v="0"/>
    <n v="332"/>
  </r>
  <r>
    <x v="2"/>
    <x v="6"/>
    <x v="6"/>
    <x v="0"/>
    <n v="328"/>
  </r>
  <r>
    <x v="2"/>
    <x v="7"/>
    <x v="7"/>
    <x v="0"/>
    <n v="226"/>
  </r>
  <r>
    <x v="2"/>
    <x v="8"/>
    <x v="8"/>
    <x v="0"/>
    <n v="377"/>
  </r>
  <r>
    <x v="2"/>
    <x v="9"/>
    <x v="9"/>
    <x v="0"/>
    <n v="356"/>
  </r>
  <r>
    <x v="2"/>
    <x v="10"/>
    <x v="10"/>
    <x v="0"/>
    <n v="430"/>
  </r>
  <r>
    <x v="2"/>
    <x v="11"/>
    <x v="11"/>
    <x v="0"/>
    <n v="594"/>
  </r>
  <r>
    <x v="3"/>
    <x v="0"/>
    <x v="0"/>
    <x v="0"/>
    <n v="373"/>
  </r>
  <r>
    <x v="3"/>
    <x v="1"/>
    <x v="1"/>
    <x v="0"/>
    <n v="383"/>
  </r>
  <r>
    <x v="3"/>
    <x v="2"/>
    <x v="2"/>
    <x v="0"/>
    <n v="357"/>
  </r>
  <r>
    <x v="3"/>
    <x v="3"/>
    <x v="3"/>
    <x v="0"/>
    <n v="429"/>
  </r>
  <r>
    <x v="3"/>
    <x v="4"/>
    <x v="4"/>
    <x v="0"/>
    <n v="250"/>
  </r>
  <r>
    <x v="3"/>
    <x v="5"/>
    <x v="5"/>
    <x v="0"/>
    <n v="333"/>
  </r>
  <r>
    <x v="3"/>
    <x v="6"/>
    <x v="6"/>
    <x v="0"/>
    <n v="276"/>
  </r>
  <r>
    <x v="3"/>
    <x v="7"/>
    <x v="7"/>
    <x v="0"/>
    <n v="287"/>
  </r>
  <r>
    <x v="3"/>
    <x v="8"/>
    <x v="8"/>
    <x v="0"/>
    <n v="279"/>
  </r>
  <r>
    <x v="3"/>
    <x v="9"/>
    <x v="9"/>
    <x v="0"/>
    <n v="291"/>
  </r>
  <r>
    <x v="3"/>
    <x v="10"/>
    <x v="10"/>
    <x v="0"/>
    <n v="350"/>
  </r>
  <r>
    <x v="3"/>
    <x v="11"/>
    <x v="11"/>
    <x v="0"/>
    <n v="535"/>
  </r>
  <r>
    <x v="4"/>
    <x v="0"/>
    <x v="0"/>
    <x v="0"/>
    <n v="361"/>
  </r>
  <r>
    <x v="4"/>
    <x v="1"/>
    <x v="1"/>
    <x v="0"/>
    <n v="354"/>
  </r>
  <r>
    <x v="4"/>
    <x v="2"/>
    <x v="2"/>
    <x v="0"/>
    <n v="296"/>
  </r>
  <r>
    <x v="4"/>
    <x v="3"/>
    <x v="3"/>
    <x v="0"/>
    <n v="336"/>
  </r>
  <r>
    <x v="4"/>
    <x v="4"/>
    <x v="4"/>
    <x v="0"/>
    <n v="220"/>
  </r>
  <r>
    <x v="4"/>
    <x v="5"/>
    <x v="5"/>
    <x v="0"/>
    <n v="266"/>
  </r>
  <r>
    <x v="4"/>
    <x v="6"/>
    <x v="6"/>
    <x v="0"/>
    <n v="183"/>
  </r>
  <r>
    <x v="4"/>
    <x v="7"/>
    <x v="7"/>
    <x v="0"/>
    <n v="212"/>
  </r>
  <r>
    <x v="4"/>
    <x v="8"/>
    <x v="8"/>
    <x v="0"/>
    <n v="306"/>
  </r>
  <r>
    <x v="4"/>
    <x v="9"/>
    <x v="9"/>
    <x v="0"/>
    <n v="242"/>
  </r>
  <r>
    <x v="4"/>
    <x v="10"/>
    <x v="10"/>
    <x v="0"/>
    <n v="393"/>
  </r>
  <r>
    <x v="4"/>
    <x v="11"/>
    <x v="11"/>
    <x v="0"/>
    <n v="419"/>
  </r>
  <r>
    <x v="0"/>
    <x v="0"/>
    <x v="0"/>
    <x v="1"/>
    <n v="791"/>
  </r>
  <r>
    <x v="0"/>
    <x v="1"/>
    <x v="1"/>
    <x v="1"/>
    <n v="747"/>
  </r>
  <r>
    <x v="0"/>
    <x v="2"/>
    <x v="2"/>
    <x v="1"/>
    <n v="1027"/>
  </r>
  <r>
    <x v="0"/>
    <x v="3"/>
    <x v="3"/>
    <x v="1"/>
    <n v="1077"/>
  </r>
  <r>
    <x v="0"/>
    <x v="4"/>
    <x v="4"/>
    <x v="1"/>
    <n v="982"/>
  </r>
  <r>
    <x v="0"/>
    <x v="5"/>
    <x v="5"/>
    <x v="1"/>
    <n v="991"/>
  </r>
  <r>
    <x v="0"/>
    <x v="6"/>
    <x v="6"/>
    <x v="1"/>
    <n v="946"/>
  </r>
  <r>
    <x v="0"/>
    <x v="7"/>
    <x v="7"/>
    <x v="1"/>
    <n v="756"/>
  </r>
  <r>
    <x v="0"/>
    <x v="8"/>
    <x v="8"/>
    <x v="1"/>
    <n v="913"/>
  </r>
  <r>
    <x v="0"/>
    <x v="9"/>
    <x v="9"/>
    <x v="1"/>
    <n v="762"/>
  </r>
  <r>
    <x v="0"/>
    <x v="10"/>
    <x v="10"/>
    <x v="1"/>
    <n v="809"/>
  </r>
  <r>
    <x v="0"/>
    <x v="11"/>
    <x v="11"/>
    <x v="1"/>
    <n v="1100"/>
  </r>
  <r>
    <x v="1"/>
    <x v="0"/>
    <x v="0"/>
    <x v="1"/>
    <n v="976"/>
  </r>
  <r>
    <x v="1"/>
    <x v="1"/>
    <x v="1"/>
    <x v="1"/>
    <n v="903"/>
  </r>
  <r>
    <x v="1"/>
    <x v="2"/>
    <x v="2"/>
    <x v="1"/>
    <n v="1031"/>
  </r>
  <r>
    <x v="1"/>
    <x v="3"/>
    <x v="3"/>
    <x v="1"/>
    <n v="928"/>
  </r>
  <r>
    <x v="1"/>
    <x v="4"/>
    <x v="4"/>
    <x v="1"/>
    <n v="984"/>
  </r>
  <r>
    <x v="1"/>
    <x v="5"/>
    <x v="5"/>
    <x v="1"/>
    <n v="998"/>
  </r>
  <r>
    <x v="1"/>
    <x v="6"/>
    <x v="6"/>
    <x v="1"/>
    <n v="587"/>
  </r>
  <r>
    <x v="1"/>
    <x v="7"/>
    <x v="7"/>
    <x v="1"/>
    <n v="940"/>
  </r>
  <r>
    <x v="1"/>
    <x v="8"/>
    <x v="8"/>
    <x v="1"/>
    <n v="904"/>
  </r>
  <r>
    <x v="1"/>
    <x v="9"/>
    <x v="9"/>
    <x v="1"/>
    <n v="792"/>
  </r>
  <r>
    <x v="1"/>
    <x v="10"/>
    <x v="10"/>
    <x v="1"/>
    <n v="846"/>
  </r>
  <r>
    <x v="1"/>
    <x v="11"/>
    <x v="11"/>
    <x v="1"/>
    <n v="912"/>
  </r>
  <r>
    <x v="2"/>
    <x v="0"/>
    <x v="0"/>
    <x v="1"/>
    <n v="917"/>
  </r>
  <r>
    <x v="2"/>
    <x v="1"/>
    <x v="1"/>
    <x v="1"/>
    <n v="954"/>
  </r>
  <r>
    <x v="2"/>
    <x v="2"/>
    <x v="2"/>
    <x v="1"/>
    <n v="971"/>
  </r>
  <r>
    <x v="2"/>
    <x v="3"/>
    <x v="3"/>
    <x v="1"/>
    <n v="1044"/>
  </r>
  <r>
    <x v="2"/>
    <x v="4"/>
    <x v="4"/>
    <x v="1"/>
    <n v="1059"/>
  </r>
  <r>
    <x v="2"/>
    <x v="5"/>
    <x v="5"/>
    <x v="1"/>
    <n v="981"/>
  </r>
  <r>
    <x v="2"/>
    <x v="6"/>
    <x v="6"/>
    <x v="1"/>
    <n v="897"/>
  </r>
  <r>
    <x v="2"/>
    <x v="7"/>
    <x v="7"/>
    <x v="1"/>
    <n v="619"/>
  </r>
  <r>
    <x v="2"/>
    <x v="8"/>
    <x v="8"/>
    <x v="1"/>
    <n v="915"/>
  </r>
  <r>
    <x v="2"/>
    <x v="9"/>
    <x v="9"/>
    <x v="1"/>
    <n v="802"/>
  </r>
  <r>
    <x v="2"/>
    <x v="10"/>
    <x v="10"/>
    <x v="1"/>
    <n v="922"/>
  </r>
  <r>
    <x v="2"/>
    <x v="11"/>
    <x v="11"/>
    <x v="1"/>
    <n v="865"/>
  </r>
  <r>
    <x v="3"/>
    <x v="0"/>
    <x v="0"/>
    <x v="1"/>
    <n v="926"/>
  </r>
  <r>
    <x v="3"/>
    <x v="1"/>
    <x v="1"/>
    <x v="1"/>
    <n v="938"/>
  </r>
  <r>
    <x v="3"/>
    <x v="2"/>
    <x v="2"/>
    <x v="1"/>
    <n v="987"/>
  </r>
  <r>
    <x v="3"/>
    <x v="3"/>
    <x v="3"/>
    <x v="1"/>
    <n v="1107"/>
  </r>
  <r>
    <x v="3"/>
    <x v="4"/>
    <x v="4"/>
    <x v="1"/>
    <n v="846"/>
  </r>
  <r>
    <x v="3"/>
    <x v="5"/>
    <x v="5"/>
    <x v="1"/>
    <n v="994"/>
  </r>
  <r>
    <x v="3"/>
    <x v="6"/>
    <x v="6"/>
    <x v="1"/>
    <n v="762"/>
  </r>
  <r>
    <x v="3"/>
    <x v="7"/>
    <x v="7"/>
    <x v="1"/>
    <n v="750"/>
  </r>
  <r>
    <x v="3"/>
    <x v="8"/>
    <x v="8"/>
    <x v="1"/>
    <n v="803"/>
  </r>
  <r>
    <x v="3"/>
    <x v="9"/>
    <x v="9"/>
    <x v="1"/>
    <n v="851"/>
  </r>
  <r>
    <x v="3"/>
    <x v="10"/>
    <x v="10"/>
    <x v="1"/>
    <n v="747"/>
  </r>
  <r>
    <x v="3"/>
    <x v="11"/>
    <x v="11"/>
    <x v="1"/>
    <n v="811"/>
  </r>
  <r>
    <x v="4"/>
    <x v="0"/>
    <x v="0"/>
    <x v="1"/>
    <n v="934"/>
  </r>
  <r>
    <x v="4"/>
    <x v="1"/>
    <x v="1"/>
    <x v="1"/>
    <n v="899"/>
  </r>
  <r>
    <x v="4"/>
    <x v="2"/>
    <x v="2"/>
    <x v="1"/>
    <n v="967"/>
  </r>
  <r>
    <x v="4"/>
    <x v="3"/>
    <x v="3"/>
    <x v="1"/>
    <n v="1052"/>
  </r>
  <r>
    <x v="4"/>
    <x v="4"/>
    <x v="4"/>
    <x v="1"/>
    <n v="862"/>
  </r>
  <r>
    <x v="4"/>
    <x v="5"/>
    <x v="5"/>
    <x v="1"/>
    <n v="893"/>
  </r>
  <r>
    <x v="4"/>
    <x v="6"/>
    <x v="6"/>
    <x v="1"/>
    <n v="591"/>
  </r>
  <r>
    <x v="4"/>
    <x v="7"/>
    <x v="7"/>
    <x v="1"/>
    <n v="835"/>
  </r>
  <r>
    <x v="4"/>
    <x v="8"/>
    <x v="8"/>
    <x v="1"/>
    <n v="891"/>
  </r>
  <r>
    <x v="4"/>
    <x v="9"/>
    <x v="9"/>
    <x v="1"/>
    <n v="736"/>
  </r>
  <r>
    <x v="4"/>
    <x v="10"/>
    <x v="10"/>
    <x v="1"/>
    <n v="793"/>
  </r>
  <r>
    <x v="4"/>
    <x v="11"/>
    <x v="11"/>
    <x v="1"/>
    <n v="767"/>
  </r>
  <r>
    <x v="0"/>
    <x v="0"/>
    <x v="0"/>
    <x v="2"/>
    <n v="447"/>
  </r>
  <r>
    <x v="0"/>
    <x v="1"/>
    <x v="1"/>
    <x v="2"/>
    <n v="396"/>
  </r>
  <r>
    <x v="0"/>
    <x v="2"/>
    <x v="2"/>
    <x v="2"/>
    <n v="661"/>
  </r>
  <r>
    <x v="0"/>
    <x v="3"/>
    <x v="3"/>
    <x v="2"/>
    <n v="684"/>
  </r>
  <r>
    <x v="0"/>
    <x v="4"/>
    <x v="4"/>
    <x v="2"/>
    <n v="668"/>
  </r>
  <r>
    <x v="0"/>
    <x v="5"/>
    <x v="5"/>
    <x v="2"/>
    <n v="691"/>
  </r>
  <r>
    <x v="0"/>
    <x v="6"/>
    <x v="6"/>
    <x v="2"/>
    <n v="634"/>
  </r>
  <r>
    <x v="0"/>
    <x v="7"/>
    <x v="7"/>
    <x v="2"/>
    <n v="576"/>
  </r>
  <r>
    <x v="0"/>
    <x v="8"/>
    <x v="8"/>
    <x v="2"/>
    <n v="612"/>
  </r>
  <r>
    <x v="0"/>
    <x v="9"/>
    <x v="9"/>
    <x v="2"/>
    <n v="515"/>
  </r>
  <r>
    <x v="0"/>
    <x v="10"/>
    <x v="10"/>
    <x v="2"/>
    <n v="612"/>
  </r>
  <r>
    <x v="0"/>
    <x v="11"/>
    <x v="11"/>
    <x v="2"/>
    <n v="766"/>
  </r>
  <r>
    <x v="1"/>
    <x v="0"/>
    <x v="0"/>
    <x v="2"/>
    <n v="574"/>
  </r>
  <r>
    <x v="1"/>
    <x v="1"/>
    <x v="1"/>
    <x v="2"/>
    <n v="650"/>
  </r>
  <r>
    <x v="1"/>
    <x v="2"/>
    <x v="2"/>
    <x v="2"/>
    <n v="645"/>
  </r>
  <r>
    <x v="1"/>
    <x v="3"/>
    <x v="3"/>
    <x v="2"/>
    <n v="750"/>
  </r>
  <r>
    <x v="1"/>
    <x v="4"/>
    <x v="4"/>
    <x v="2"/>
    <n v="565"/>
  </r>
  <r>
    <x v="1"/>
    <x v="5"/>
    <x v="5"/>
    <x v="2"/>
    <n v="745"/>
  </r>
  <r>
    <x v="1"/>
    <x v="6"/>
    <x v="6"/>
    <x v="2"/>
    <n v="516"/>
  </r>
  <r>
    <x v="1"/>
    <x v="7"/>
    <x v="7"/>
    <x v="2"/>
    <n v="757"/>
  </r>
  <r>
    <x v="1"/>
    <x v="8"/>
    <x v="8"/>
    <x v="2"/>
    <n v="676"/>
  </r>
  <r>
    <x v="1"/>
    <x v="9"/>
    <x v="9"/>
    <x v="2"/>
    <n v="611"/>
  </r>
  <r>
    <x v="1"/>
    <x v="10"/>
    <x v="10"/>
    <x v="2"/>
    <n v="753"/>
  </r>
  <r>
    <x v="1"/>
    <x v="11"/>
    <x v="11"/>
    <x v="2"/>
    <n v="738"/>
  </r>
  <r>
    <x v="2"/>
    <x v="0"/>
    <x v="0"/>
    <x v="2"/>
    <n v="638"/>
  </r>
  <r>
    <x v="2"/>
    <x v="1"/>
    <x v="1"/>
    <x v="2"/>
    <n v="584"/>
  </r>
  <r>
    <x v="2"/>
    <x v="2"/>
    <x v="2"/>
    <x v="2"/>
    <n v="573"/>
  </r>
  <r>
    <x v="2"/>
    <x v="3"/>
    <x v="3"/>
    <x v="2"/>
    <n v="703"/>
  </r>
  <r>
    <x v="2"/>
    <x v="4"/>
    <x v="4"/>
    <x v="2"/>
    <n v="720"/>
  </r>
  <r>
    <x v="2"/>
    <x v="5"/>
    <x v="5"/>
    <x v="2"/>
    <n v="655"/>
  </r>
  <r>
    <x v="2"/>
    <x v="6"/>
    <x v="6"/>
    <x v="2"/>
    <n v="691"/>
  </r>
  <r>
    <x v="2"/>
    <x v="7"/>
    <x v="7"/>
    <x v="2"/>
    <n v="523"/>
  </r>
  <r>
    <x v="2"/>
    <x v="8"/>
    <x v="8"/>
    <x v="2"/>
    <n v="686"/>
  </r>
  <r>
    <x v="2"/>
    <x v="9"/>
    <x v="9"/>
    <x v="2"/>
    <n v="682"/>
  </r>
  <r>
    <x v="2"/>
    <x v="10"/>
    <x v="10"/>
    <x v="2"/>
    <n v="802"/>
  </r>
  <r>
    <x v="2"/>
    <x v="11"/>
    <x v="11"/>
    <x v="2"/>
    <n v="832"/>
  </r>
  <r>
    <x v="3"/>
    <x v="0"/>
    <x v="0"/>
    <x v="2"/>
    <n v="757"/>
  </r>
  <r>
    <x v="3"/>
    <x v="1"/>
    <x v="1"/>
    <x v="2"/>
    <n v="619"/>
  </r>
  <r>
    <x v="3"/>
    <x v="2"/>
    <x v="2"/>
    <x v="2"/>
    <n v="592"/>
  </r>
  <r>
    <x v="3"/>
    <x v="3"/>
    <x v="3"/>
    <x v="2"/>
    <n v="688"/>
  </r>
  <r>
    <x v="3"/>
    <x v="4"/>
    <x v="4"/>
    <x v="2"/>
    <n v="629"/>
  </r>
  <r>
    <x v="3"/>
    <x v="5"/>
    <x v="5"/>
    <x v="2"/>
    <n v="720"/>
  </r>
  <r>
    <x v="3"/>
    <x v="6"/>
    <x v="6"/>
    <x v="2"/>
    <n v="566"/>
  </r>
  <r>
    <x v="3"/>
    <x v="7"/>
    <x v="7"/>
    <x v="2"/>
    <n v="569"/>
  </r>
  <r>
    <x v="3"/>
    <x v="8"/>
    <x v="8"/>
    <x v="2"/>
    <n v="584"/>
  </r>
  <r>
    <x v="3"/>
    <x v="9"/>
    <x v="9"/>
    <x v="2"/>
    <n v="556"/>
  </r>
  <r>
    <x v="3"/>
    <x v="10"/>
    <x v="10"/>
    <x v="2"/>
    <n v="625"/>
  </r>
  <r>
    <x v="3"/>
    <x v="11"/>
    <x v="11"/>
    <x v="2"/>
    <n v="681"/>
  </r>
  <r>
    <x v="4"/>
    <x v="0"/>
    <x v="0"/>
    <x v="2"/>
    <n v="559"/>
  </r>
  <r>
    <x v="4"/>
    <x v="1"/>
    <x v="1"/>
    <x v="2"/>
    <n v="583"/>
  </r>
  <r>
    <x v="4"/>
    <x v="2"/>
    <x v="2"/>
    <x v="2"/>
    <n v="514"/>
  </r>
  <r>
    <x v="4"/>
    <x v="3"/>
    <x v="3"/>
    <x v="2"/>
    <n v="712"/>
  </r>
  <r>
    <x v="4"/>
    <x v="4"/>
    <x v="4"/>
    <x v="2"/>
    <n v="519"/>
  </r>
  <r>
    <x v="4"/>
    <x v="5"/>
    <x v="5"/>
    <x v="2"/>
    <n v="631"/>
  </r>
  <r>
    <x v="4"/>
    <x v="6"/>
    <x v="6"/>
    <x v="2"/>
    <n v="446"/>
  </r>
  <r>
    <x v="4"/>
    <x v="7"/>
    <x v="7"/>
    <x v="2"/>
    <n v="543"/>
  </r>
  <r>
    <x v="4"/>
    <x v="8"/>
    <x v="8"/>
    <x v="2"/>
    <n v="672"/>
  </r>
  <r>
    <x v="4"/>
    <x v="9"/>
    <x v="9"/>
    <x v="2"/>
    <n v="563"/>
  </r>
  <r>
    <x v="4"/>
    <x v="10"/>
    <x v="10"/>
    <x v="2"/>
    <n v="605"/>
  </r>
  <r>
    <x v="4"/>
    <x v="11"/>
    <x v="11"/>
    <x v="2"/>
    <n v="587"/>
  </r>
  <r>
    <x v="0"/>
    <x v="0"/>
    <x v="0"/>
    <x v="3"/>
    <n v="280"/>
  </r>
  <r>
    <x v="0"/>
    <x v="1"/>
    <x v="1"/>
    <x v="3"/>
    <n v="260"/>
  </r>
  <r>
    <x v="0"/>
    <x v="2"/>
    <x v="2"/>
    <x v="3"/>
    <n v="424"/>
  </r>
  <r>
    <x v="0"/>
    <x v="3"/>
    <x v="3"/>
    <x v="3"/>
    <n v="461"/>
  </r>
  <r>
    <x v="0"/>
    <x v="4"/>
    <x v="4"/>
    <x v="3"/>
    <n v="395"/>
  </r>
  <r>
    <x v="0"/>
    <x v="5"/>
    <x v="5"/>
    <x v="3"/>
    <n v="401"/>
  </r>
  <r>
    <x v="0"/>
    <x v="6"/>
    <x v="6"/>
    <x v="3"/>
    <n v="407"/>
  </r>
  <r>
    <x v="0"/>
    <x v="7"/>
    <x v="7"/>
    <x v="3"/>
    <n v="371"/>
  </r>
  <r>
    <x v="0"/>
    <x v="8"/>
    <x v="8"/>
    <x v="3"/>
    <n v="442"/>
  </r>
  <r>
    <x v="0"/>
    <x v="9"/>
    <x v="9"/>
    <x v="3"/>
    <n v="330"/>
  </r>
  <r>
    <x v="0"/>
    <x v="10"/>
    <x v="10"/>
    <x v="3"/>
    <n v="400"/>
  </r>
  <r>
    <x v="0"/>
    <x v="11"/>
    <x v="11"/>
    <x v="3"/>
    <n v="536"/>
  </r>
  <r>
    <x v="1"/>
    <x v="0"/>
    <x v="0"/>
    <x v="3"/>
    <n v="423"/>
  </r>
  <r>
    <x v="1"/>
    <x v="1"/>
    <x v="1"/>
    <x v="3"/>
    <n v="443"/>
  </r>
  <r>
    <x v="1"/>
    <x v="2"/>
    <x v="2"/>
    <x v="3"/>
    <n v="378"/>
  </r>
  <r>
    <x v="1"/>
    <x v="3"/>
    <x v="3"/>
    <x v="3"/>
    <n v="248"/>
  </r>
  <r>
    <x v="1"/>
    <x v="4"/>
    <x v="4"/>
    <x v="3"/>
    <n v="305"/>
  </r>
  <r>
    <x v="1"/>
    <x v="5"/>
    <x v="5"/>
    <x v="3"/>
    <n v="437"/>
  </r>
  <r>
    <x v="1"/>
    <x v="6"/>
    <x v="6"/>
    <x v="3"/>
    <n v="287"/>
  </r>
  <r>
    <x v="1"/>
    <x v="7"/>
    <x v="7"/>
    <x v="3"/>
    <n v="483"/>
  </r>
  <r>
    <x v="1"/>
    <x v="8"/>
    <x v="8"/>
    <x v="3"/>
    <n v="461"/>
  </r>
  <r>
    <x v="1"/>
    <x v="9"/>
    <x v="9"/>
    <x v="3"/>
    <n v="422"/>
  </r>
  <r>
    <x v="1"/>
    <x v="10"/>
    <x v="10"/>
    <x v="3"/>
    <n v="406"/>
  </r>
  <r>
    <x v="1"/>
    <x v="11"/>
    <x v="11"/>
    <x v="3"/>
    <n v="457"/>
  </r>
  <r>
    <x v="2"/>
    <x v="0"/>
    <x v="0"/>
    <x v="3"/>
    <n v="468"/>
  </r>
  <r>
    <x v="2"/>
    <x v="1"/>
    <x v="1"/>
    <x v="3"/>
    <n v="441"/>
  </r>
  <r>
    <x v="2"/>
    <x v="2"/>
    <x v="2"/>
    <x v="3"/>
    <n v="436"/>
  </r>
  <r>
    <x v="2"/>
    <x v="3"/>
    <x v="3"/>
    <x v="3"/>
    <n v="489"/>
  </r>
  <r>
    <x v="2"/>
    <x v="4"/>
    <x v="4"/>
    <x v="3"/>
    <n v="461"/>
  </r>
  <r>
    <x v="2"/>
    <x v="5"/>
    <x v="5"/>
    <x v="3"/>
    <n v="454"/>
  </r>
  <r>
    <x v="2"/>
    <x v="6"/>
    <x v="6"/>
    <x v="3"/>
    <n v="450"/>
  </r>
  <r>
    <x v="2"/>
    <x v="7"/>
    <x v="7"/>
    <x v="3"/>
    <n v="347"/>
  </r>
  <r>
    <x v="2"/>
    <x v="8"/>
    <x v="8"/>
    <x v="3"/>
    <n v="459"/>
  </r>
  <r>
    <x v="2"/>
    <x v="9"/>
    <x v="9"/>
    <x v="3"/>
    <n v="453"/>
  </r>
  <r>
    <x v="2"/>
    <x v="10"/>
    <x v="10"/>
    <x v="3"/>
    <n v="464"/>
  </r>
  <r>
    <x v="2"/>
    <x v="11"/>
    <x v="11"/>
    <x v="3"/>
    <n v="438"/>
  </r>
  <r>
    <x v="3"/>
    <x v="0"/>
    <x v="0"/>
    <x v="3"/>
    <n v="421"/>
  </r>
  <r>
    <x v="3"/>
    <x v="1"/>
    <x v="1"/>
    <x v="3"/>
    <n v="432"/>
  </r>
  <r>
    <x v="3"/>
    <x v="2"/>
    <x v="2"/>
    <x v="3"/>
    <n v="492"/>
  </r>
  <r>
    <x v="3"/>
    <x v="3"/>
    <x v="3"/>
    <x v="3"/>
    <n v="498"/>
  </r>
  <r>
    <x v="3"/>
    <x v="4"/>
    <x v="4"/>
    <x v="3"/>
    <n v="360"/>
  </r>
  <r>
    <x v="3"/>
    <x v="5"/>
    <x v="5"/>
    <x v="3"/>
    <n v="400"/>
  </r>
  <r>
    <x v="3"/>
    <x v="6"/>
    <x v="6"/>
    <x v="3"/>
    <n v="367"/>
  </r>
  <r>
    <x v="3"/>
    <x v="7"/>
    <x v="7"/>
    <x v="3"/>
    <n v="512"/>
  </r>
  <r>
    <x v="3"/>
    <x v="8"/>
    <x v="8"/>
    <x v="3"/>
    <n v="419"/>
  </r>
  <r>
    <x v="3"/>
    <x v="9"/>
    <x v="9"/>
    <x v="3"/>
    <n v="532"/>
  </r>
  <r>
    <x v="3"/>
    <x v="10"/>
    <x v="10"/>
    <x v="3"/>
    <n v="366"/>
  </r>
  <r>
    <x v="3"/>
    <x v="11"/>
    <x v="11"/>
    <x v="3"/>
    <n v="545"/>
  </r>
  <r>
    <x v="4"/>
    <x v="0"/>
    <x v="0"/>
    <x v="3"/>
    <n v="381"/>
  </r>
  <r>
    <x v="4"/>
    <x v="1"/>
    <x v="1"/>
    <x v="3"/>
    <n v="416"/>
  </r>
  <r>
    <x v="4"/>
    <x v="2"/>
    <x v="2"/>
    <x v="3"/>
    <n v="426"/>
  </r>
  <r>
    <x v="4"/>
    <x v="3"/>
    <x v="3"/>
    <x v="3"/>
    <n v="494"/>
  </r>
  <r>
    <x v="4"/>
    <x v="4"/>
    <x v="4"/>
    <x v="3"/>
    <n v="220"/>
  </r>
  <r>
    <x v="4"/>
    <x v="5"/>
    <x v="5"/>
    <x v="3"/>
    <n v="459"/>
  </r>
  <r>
    <x v="4"/>
    <x v="6"/>
    <x v="6"/>
    <x v="3"/>
    <n v="281"/>
  </r>
  <r>
    <x v="4"/>
    <x v="7"/>
    <x v="7"/>
    <x v="3"/>
    <n v="455"/>
  </r>
  <r>
    <x v="4"/>
    <x v="8"/>
    <x v="8"/>
    <x v="3"/>
    <n v="536"/>
  </r>
  <r>
    <x v="4"/>
    <x v="9"/>
    <x v="9"/>
    <x v="3"/>
    <n v="516"/>
  </r>
  <r>
    <x v="4"/>
    <x v="10"/>
    <x v="10"/>
    <x v="3"/>
    <n v="395"/>
  </r>
  <r>
    <x v="4"/>
    <x v="11"/>
    <x v="11"/>
    <x v="3"/>
    <n v="587"/>
  </r>
  <r>
    <x v="0"/>
    <x v="0"/>
    <x v="0"/>
    <x v="4"/>
    <n v="49"/>
  </r>
  <r>
    <x v="0"/>
    <x v="1"/>
    <x v="1"/>
    <x v="4"/>
    <n v="84"/>
  </r>
  <r>
    <x v="0"/>
    <x v="2"/>
    <x v="2"/>
    <x v="4"/>
    <n v="111"/>
  </r>
  <r>
    <x v="0"/>
    <x v="3"/>
    <x v="3"/>
    <x v="4"/>
    <n v="130"/>
  </r>
  <r>
    <x v="0"/>
    <x v="4"/>
    <x v="4"/>
    <x v="4"/>
    <n v="110"/>
  </r>
  <r>
    <x v="0"/>
    <x v="5"/>
    <x v="5"/>
    <x v="4"/>
    <n v="115"/>
  </r>
  <r>
    <x v="0"/>
    <x v="6"/>
    <x v="6"/>
    <x v="4"/>
    <n v="112"/>
  </r>
  <r>
    <x v="0"/>
    <x v="7"/>
    <x v="7"/>
    <x v="4"/>
    <n v="81"/>
  </r>
  <r>
    <x v="0"/>
    <x v="8"/>
    <x v="8"/>
    <x v="4"/>
    <n v="117"/>
  </r>
  <r>
    <x v="0"/>
    <x v="9"/>
    <x v="9"/>
    <x v="4"/>
    <n v="100"/>
  </r>
  <r>
    <x v="0"/>
    <x v="10"/>
    <x v="10"/>
    <x v="4"/>
    <n v="127"/>
  </r>
  <r>
    <x v="0"/>
    <x v="11"/>
    <x v="11"/>
    <x v="4"/>
    <n v="167"/>
  </r>
  <r>
    <x v="1"/>
    <x v="0"/>
    <x v="0"/>
    <x v="4"/>
    <n v="125"/>
  </r>
  <r>
    <x v="1"/>
    <x v="1"/>
    <x v="1"/>
    <x v="4"/>
    <n v="115"/>
  </r>
  <r>
    <x v="1"/>
    <x v="2"/>
    <x v="2"/>
    <x v="4"/>
    <n v="128"/>
  </r>
  <r>
    <x v="1"/>
    <x v="3"/>
    <x v="3"/>
    <x v="4"/>
    <n v="101"/>
  </r>
  <r>
    <x v="1"/>
    <x v="4"/>
    <x v="4"/>
    <x v="4"/>
    <n v="133"/>
  </r>
  <r>
    <x v="1"/>
    <x v="5"/>
    <x v="5"/>
    <x v="4"/>
    <n v="138"/>
  </r>
  <r>
    <x v="1"/>
    <x v="6"/>
    <x v="6"/>
    <x v="4"/>
    <n v="88"/>
  </r>
  <r>
    <x v="1"/>
    <x v="7"/>
    <x v="7"/>
    <x v="4"/>
    <n v="140"/>
  </r>
  <r>
    <x v="1"/>
    <x v="8"/>
    <x v="8"/>
    <x v="4"/>
    <n v="136"/>
  </r>
  <r>
    <x v="1"/>
    <x v="9"/>
    <x v="9"/>
    <x v="4"/>
    <n v="128"/>
  </r>
  <r>
    <x v="1"/>
    <x v="10"/>
    <x v="10"/>
    <x v="4"/>
    <n v="145"/>
  </r>
  <r>
    <x v="1"/>
    <x v="11"/>
    <x v="11"/>
    <x v="4"/>
    <n v="169"/>
  </r>
  <r>
    <x v="2"/>
    <x v="0"/>
    <x v="0"/>
    <x v="4"/>
    <n v="139"/>
  </r>
  <r>
    <x v="2"/>
    <x v="1"/>
    <x v="1"/>
    <x v="4"/>
    <n v="149"/>
  </r>
  <r>
    <x v="2"/>
    <x v="2"/>
    <x v="2"/>
    <x v="4"/>
    <n v="127"/>
  </r>
  <r>
    <x v="2"/>
    <x v="3"/>
    <x v="3"/>
    <x v="4"/>
    <n v="149"/>
  </r>
  <r>
    <x v="2"/>
    <x v="4"/>
    <x v="4"/>
    <x v="4"/>
    <n v="97"/>
  </r>
  <r>
    <x v="2"/>
    <x v="5"/>
    <x v="5"/>
    <x v="4"/>
    <n v="118"/>
  </r>
  <r>
    <x v="2"/>
    <x v="6"/>
    <x v="6"/>
    <x v="4"/>
    <n v="138"/>
  </r>
  <r>
    <x v="2"/>
    <x v="7"/>
    <x v="7"/>
    <x v="4"/>
    <n v="104"/>
  </r>
  <r>
    <x v="2"/>
    <x v="8"/>
    <x v="8"/>
    <x v="4"/>
    <n v="116"/>
  </r>
  <r>
    <x v="2"/>
    <x v="9"/>
    <x v="9"/>
    <x v="4"/>
    <n v="148"/>
  </r>
  <r>
    <x v="2"/>
    <x v="10"/>
    <x v="10"/>
    <x v="4"/>
    <n v="149"/>
  </r>
  <r>
    <x v="2"/>
    <x v="11"/>
    <x v="11"/>
    <x v="4"/>
    <n v="139"/>
  </r>
  <r>
    <x v="3"/>
    <x v="0"/>
    <x v="0"/>
    <x v="4"/>
    <n v="152"/>
  </r>
  <r>
    <x v="3"/>
    <x v="1"/>
    <x v="1"/>
    <x v="4"/>
    <n v="125"/>
  </r>
  <r>
    <x v="3"/>
    <x v="2"/>
    <x v="2"/>
    <x v="4"/>
    <n v="123"/>
  </r>
  <r>
    <x v="3"/>
    <x v="3"/>
    <x v="3"/>
    <x v="4"/>
    <n v="128"/>
  </r>
  <r>
    <x v="3"/>
    <x v="4"/>
    <x v="4"/>
    <x v="4"/>
    <n v="93"/>
  </r>
  <r>
    <x v="3"/>
    <x v="5"/>
    <x v="5"/>
    <x v="4"/>
    <n v="139"/>
  </r>
  <r>
    <x v="3"/>
    <x v="6"/>
    <x v="6"/>
    <x v="4"/>
    <n v="102"/>
  </r>
  <r>
    <x v="3"/>
    <x v="7"/>
    <x v="7"/>
    <x v="4"/>
    <n v="113"/>
  </r>
  <r>
    <x v="3"/>
    <x v="8"/>
    <x v="8"/>
    <x v="4"/>
    <n v="122"/>
  </r>
  <r>
    <x v="3"/>
    <x v="9"/>
    <x v="9"/>
    <x v="4"/>
    <n v="142"/>
  </r>
  <r>
    <x v="3"/>
    <x v="10"/>
    <x v="10"/>
    <x v="4"/>
    <n v="142"/>
  </r>
  <r>
    <x v="3"/>
    <x v="11"/>
    <x v="11"/>
    <x v="4"/>
    <n v="142"/>
  </r>
  <r>
    <x v="4"/>
    <x v="0"/>
    <x v="0"/>
    <x v="4"/>
    <n v="116"/>
  </r>
  <r>
    <x v="4"/>
    <x v="1"/>
    <x v="1"/>
    <x v="4"/>
    <n v="127"/>
  </r>
  <r>
    <x v="4"/>
    <x v="2"/>
    <x v="2"/>
    <x v="4"/>
    <n v="142"/>
  </r>
  <r>
    <x v="4"/>
    <x v="3"/>
    <x v="3"/>
    <x v="4"/>
    <n v="136"/>
  </r>
  <r>
    <x v="4"/>
    <x v="4"/>
    <x v="4"/>
    <x v="4"/>
    <n v="94"/>
  </r>
  <r>
    <x v="4"/>
    <x v="5"/>
    <x v="5"/>
    <x v="4"/>
    <n v="133"/>
  </r>
  <r>
    <x v="4"/>
    <x v="6"/>
    <x v="6"/>
    <x v="4"/>
    <n v="90"/>
  </r>
  <r>
    <x v="4"/>
    <x v="7"/>
    <x v="7"/>
    <x v="4"/>
    <n v="111"/>
  </r>
  <r>
    <x v="4"/>
    <x v="8"/>
    <x v="8"/>
    <x v="4"/>
    <n v="145"/>
  </r>
  <r>
    <x v="4"/>
    <x v="9"/>
    <x v="9"/>
    <x v="4"/>
    <n v="123"/>
  </r>
  <r>
    <x v="4"/>
    <x v="10"/>
    <x v="10"/>
    <x v="4"/>
    <n v="116"/>
  </r>
  <r>
    <x v="4"/>
    <x v="11"/>
    <x v="11"/>
    <x v="4"/>
    <n v="128"/>
  </r>
  <r>
    <x v="0"/>
    <x v="0"/>
    <x v="0"/>
    <x v="5"/>
    <n v="8"/>
  </r>
  <r>
    <x v="0"/>
    <x v="1"/>
    <x v="1"/>
    <x v="5"/>
    <n v="4"/>
  </r>
  <r>
    <x v="0"/>
    <x v="2"/>
    <x v="2"/>
    <x v="5"/>
    <n v="16"/>
  </r>
  <r>
    <x v="0"/>
    <x v="3"/>
    <x v="3"/>
    <x v="5"/>
    <n v="18"/>
  </r>
  <r>
    <x v="0"/>
    <x v="4"/>
    <x v="4"/>
    <x v="5"/>
    <n v="5"/>
  </r>
  <r>
    <x v="0"/>
    <x v="5"/>
    <x v="5"/>
    <x v="5"/>
    <n v="13"/>
  </r>
  <r>
    <x v="0"/>
    <x v="6"/>
    <x v="6"/>
    <x v="5"/>
    <n v="10"/>
  </r>
  <r>
    <x v="0"/>
    <x v="7"/>
    <x v="7"/>
    <x v="5"/>
    <n v="5"/>
  </r>
  <r>
    <x v="0"/>
    <x v="8"/>
    <x v="8"/>
    <x v="5"/>
    <n v="5"/>
  </r>
  <r>
    <x v="0"/>
    <x v="9"/>
    <x v="9"/>
    <x v="5"/>
    <n v="7"/>
  </r>
  <r>
    <x v="0"/>
    <x v="10"/>
    <x v="10"/>
    <x v="5"/>
    <n v="9"/>
  </r>
  <r>
    <x v="0"/>
    <x v="11"/>
    <x v="11"/>
    <x v="5"/>
    <n v="12"/>
  </r>
  <r>
    <x v="1"/>
    <x v="0"/>
    <x v="0"/>
    <x v="5"/>
    <n v="16"/>
  </r>
  <r>
    <x v="1"/>
    <x v="1"/>
    <x v="1"/>
    <x v="5"/>
    <n v="18"/>
  </r>
  <r>
    <x v="1"/>
    <x v="2"/>
    <x v="2"/>
    <x v="5"/>
    <n v="37"/>
  </r>
  <r>
    <x v="1"/>
    <x v="3"/>
    <x v="3"/>
    <x v="5"/>
    <n v="19"/>
  </r>
  <r>
    <x v="1"/>
    <x v="4"/>
    <x v="4"/>
    <x v="5"/>
    <n v="20"/>
  </r>
  <r>
    <x v="1"/>
    <x v="5"/>
    <x v="5"/>
    <x v="5"/>
    <n v="26"/>
  </r>
  <r>
    <x v="1"/>
    <x v="6"/>
    <x v="6"/>
    <x v="5"/>
    <n v="4"/>
  </r>
  <r>
    <x v="1"/>
    <x v="7"/>
    <x v="7"/>
    <x v="5"/>
    <n v="7"/>
  </r>
  <r>
    <x v="1"/>
    <x v="8"/>
    <x v="8"/>
    <x v="5"/>
    <n v="21"/>
  </r>
  <r>
    <x v="1"/>
    <x v="9"/>
    <x v="9"/>
    <x v="5"/>
    <n v="21"/>
  </r>
  <r>
    <x v="1"/>
    <x v="10"/>
    <x v="10"/>
    <x v="5"/>
    <n v="14"/>
  </r>
  <r>
    <x v="1"/>
    <x v="11"/>
    <x v="11"/>
    <x v="5"/>
    <n v="21"/>
  </r>
  <r>
    <x v="2"/>
    <x v="0"/>
    <x v="0"/>
    <x v="5"/>
    <n v="21"/>
  </r>
  <r>
    <x v="2"/>
    <x v="1"/>
    <x v="1"/>
    <x v="5"/>
    <n v="27"/>
  </r>
  <r>
    <x v="2"/>
    <x v="2"/>
    <x v="2"/>
    <x v="5"/>
    <n v="22"/>
  </r>
  <r>
    <x v="2"/>
    <x v="3"/>
    <x v="3"/>
    <x v="5"/>
    <n v="15"/>
  </r>
  <r>
    <x v="2"/>
    <x v="4"/>
    <x v="4"/>
    <x v="5"/>
    <n v="10"/>
  </r>
  <r>
    <x v="2"/>
    <x v="5"/>
    <x v="5"/>
    <x v="5"/>
    <n v="19"/>
  </r>
  <r>
    <x v="2"/>
    <x v="6"/>
    <x v="6"/>
    <x v="5"/>
    <n v="12"/>
  </r>
  <r>
    <x v="2"/>
    <x v="7"/>
    <x v="7"/>
    <x v="5"/>
    <n v="15"/>
  </r>
  <r>
    <x v="2"/>
    <x v="8"/>
    <x v="8"/>
    <x v="5"/>
    <n v="20"/>
  </r>
  <r>
    <x v="2"/>
    <x v="9"/>
    <x v="9"/>
    <x v="5"/>
    <n v="12"/>
  </r>
  <r>
    <x v="2"/>
    <x v="10"/>
    <x v="10"/>
    <x v="5"/>
    <n v="15"/>
  </r>
  <r>
    <x v="2"/>
    <x v="11"/>
    <x v="11"/>
    <x v="5"/>
    <n v="16"/>
  </r>
  <r>
    <x v="3"/>
    <x v="0"/>
    <x v="0"/>
    <x v="5"/>
    <n v="24"/>
  </r>
  <r>
    <x v="3"/>
    <x v="1"/>
    <x v="1"/>
    <x v="5"/>
    <n v="24"/>
  </r>
  <r>
    <x v="3"/>
    <x v="2"/>
    <x v="2"/>
    <x v="5"/>
    <n v="14"/>
  </r>
  <r>
    <x v="3"/>
    <x v="3"/>
    <x v="3"/>
    <x v="5"/>
    <n v="15"/>
  </r>
  <r>
    <x v="3"/>
    <x v="4"/>
    <x v="4"/>
    <x v="5"/>
    <n v="10"/>
  </r>
  <r>
    <x v="3"/>
    <x v="5"/>
    <x v="5"/>
    <x v="5"/>
    <n v="12"/>
  </r>
  <r>
    <x v="3"/>
    <x v="6"/>
    <x v="6"/>
    <x v="5"/>
    <n v="15"/>
  </r>
  <r>
    <x v="3"/>
    <x v="7"/>
    <x v="7"/>
    <x v="5"/>
    <n v="14"/>
  </r>
  <r>
    <x v="3"/>
    <x v="8"/>
    <x v="8"/>
    <x v="5"/>
    <n v="12"/>
  </r>
  <r>
    <x v="3"/>
    <x v="9"/>
    <x v="9"/>
    <x v="5"/>
    <n v="24"/>
  </r>
  <r>
    <x v="3"/>
    <x v="10"/>
    <x v="10"/>
    <x v="5"/>
    <n v="19"/>
  </r>
  <r>
    <x v="3"/>
    <x v="11"/>
    <x v="11"/>
    <x v="5"/>
    <n v="18"/>
  </r>
  <r>
    <x v="4"/>
    <x v="0"/>
    <x v="0"/>
    <x v="5"/>
    <n v="28"/>
  </r>
  <r>
    <x v="4"/>
    <x v="1"/>
    <x v="1"/>
    <x v="5"/>
    <n v="24"/>
  </r>
  <r>
    <x v="4"/>
    <x v="2"/>
    <x v="2"/>
    <x v="5"/>
    <n v="12"/>
  </r>
  <r>
    <x v="4"/>
    <x v="3"/>
    <x v="3"/>
    <x v="5"/>
    <n v="11"/>
  </r>
  <r>
    <x v="4"/>
    <x v="4"/>
    <x v="4"/>
    <x v="5"/>
    <n v="12"/>
  </r>
  <r>
    <x v="4"/>
    <x v="5"/>
    <x v="5"/>
    <x v="5"/>
    <n v="12"/>
  </r>
  <r>
    <x v="4"/>
    <x v="6"/>
    <x v="6"/>
    <x v="5"/>
    <n v="2"/>
  </r>
  <r>
    <x v="4"/>
    <x v="7"/>
    <x v="7"/>
    <x v="5"/>
    <n v="22"/>
  </r>
  <r>
    <x v="4"/>
    <x v="8"/>
    <x v="8"/>
    <x v="5"/>
    <n v="11"/>
  </r>
  <r>
    <x v="4"/>
    <x v="9"/>
    <x v="9"/>
    <x v="5"/>
    <n v="9"/>
  </r>
  <r>
    <x v="4"/>
    <x v="10"/>
    <x v="10"/>
    <x v="5"/>
    <n v="14"/>
  </r>
  <r>
    <x v="4"/>
    <x v="11"/>
    <x v="11"/>
    <x v="5"/>
    <n v="10"/>
  </r>
  <r>
    <x v="0"/>
    <x v="0"/>
    <x v="0"/>
    <x v="6"/>
    <n v="0"/>
  </r>
  <r>
    <x v="0"/>
    <x v="1"/>
    <x v="1"/>
    <x v="6"/>
    <n v="0"/>
  </r>
  <r>
    <x v="0"/>
    <x v="2"/>
    <x v="2"/>
    <x v="6"/>
    <n v="0"/>
  </r>
  <r>
    <x v="0"/>
    <x v="3"/>
    <x v="3"/>
    <x v="6"/>
    <n v="0"/>
  </r>
  <r>
    <x v="0"/>
    <x v="4"/>
    <x v="4"/>
    <x v="6"/>
    <n v="0"/>
  </r>
  <r>
    <x v="0"/>
    <x v="5"/>
    <x v="5"/>
    <x v="6"/>
    <n v="0"/>
  </r>
  <r>
    <x v="0"/>
    <x v="6"/>
    <x v="6"/>
    <x v="6"/>
    <n v="0"/>
  </r>
  <r>
    <x v="0"/>
    <x v="7"/>
    <x v="7"/>
    <x v="6"/>
    <n v="0"/>
  </r>
  <r>
    <x v="0"/>
    <x v="8"/>
    <x v="8"/>
    <x v="6"/>
    <n v="0"/>
  </r>
  <r>
    <x v="0"/>
    <x v="9"/>
    <x v="9"/>
    <x v="6"/>
    <n v="0"/>
  </r>
  <r>
    <x v="0"/>
    <x v="10"/>
    <x v="10"/>
    <x v="6"/>
    <n v="0"/>
  </r>
  <r>
    <x v="0"/>
    <x v="11"/>
    <x v="11"/>
    <x v="6"/>
    <n v="0"/>
  </r>
  <r>
    <x v="1"/>
    <x v="0"/>
    <x v="0"/>
    <x v="6"/>
    <n v="0"/>
  </r>
  <r>
    <x v="1"/>
    <x v="1"/>
    <x v="1"/>
    <x v="6"/>
    <n v="0"/>
  </r>
  <r>
    <x v="1"/>
    <x v="2"/>
    <x v="2"/>
    <x v="6"/>
    <n v="4"/>
  </r>
  <r>
    <x v="1"/>
    <x v="3"/>
    <x v="3"/>
    <x v="6"/>
    <n v="21"/>
  </r>
  <r>
    <x v="1"/>
    <x v="4"/>
    <x v="4"/>
    <x v="6"/>
    <n v="22"/>
  </r>
  <r>
    <x v="1"/>
    <x v="5"/>
    <x v="5"/>
    <x v="6"/>
    <n v="66"/>
  </r>
  <r>
    <x v="1"/>
    <x v="6"/>
    <x v="6"/>
    <x v="6"/>
    <n v="84"/>
  </r>
  <r>
    <x v="1"/>
    <x v="7"/>
    <x v="7"/>
    <x v="6"/>
    <n v="16"/>
  </r>
  <r>
    <x v="1"/>
    <x v="8"/>
    <x v="8"/>
    <x v="6"/>
    <n v="13"/>
  </r>
  <r>
    <x v="1"/>
    <x v="9"/>
    <x v="9"/>
    <x v="6"/>
    <n v="14"/>
  </r>
  <r>
    <x v="1"/>
    <x v="10"/>
    <x v="10"/>
    <x v="6"/>
    <n v="21"/>
  </r>
  <r>
    <x v="1"/>
    <x v="11"/>
    <x v="11"/>
    <x v="6"/>
    <n v="26"/>
  </r>
  <r>
    <x v="2"/>
    <x v="0"/>
    <x v="0"/>
    <x v="6"/>
    <n v="25"/>
  </r>
  <r>
    <x v="2"/>
    <x v="1"/>
    <x v="1"/>
    <x v="6"/>
    <n v="28"/>
  </r>
  <r>
    <x v="2"/>
    <x v="2"/>
    <x v="2"/>
    <x v="6"/>
    <n v="38"/>
  </r>
  <r>
    <x v="2"/>
    <x v="3"/>
    <x v="3"/>
    <x v="6"/>
    <n v="29"/>
  </r>
  <r>
    <x v="2"/>
    <x v="4"/>
    <x v="4"/>
    <x v="6"/>
    <n v="15"/>
  </r>
  <r>
    <x v="2"/>
    <x v="5"/>
    <x v="5"/>
    <x v="6"/>
    <n v="32"/>
  </r>
  <r>
    <x v="2"/>
    <x v="6"/>
    <x v="6"/>
    <x v="6"/>
    <n v="73"/>
  </r>
  <r>
    <x v="2"/>
    <x v="7"/>
    <x v="7"/>
    <x v="6"/>
    <n v="24"/>
  </r>
  <r>
    <x v="2"/>
    <x v="8"/>
    <x v="8"/>
    <x v="6"/>
    <n v="26"/>
  </r>
  <r>
    <x v="2"/>
    <x v="9"/>
    <x v="9"/>
    <x v="6"/>
    <n v="18"/>
  </r>
  <r>
    <x v="2"/>
    <x v="10"/>
    <x v="10"/>
    <x v="6"/>
    <n v="39"/>
  </r>
  <r>
    <x v="2"/>
    <x v="11"/>
    <x v="11"/>
    <x v="6"/>
    <n v="43"/>
  </r>
  <r>
    <x v="3"/>
    <x v="0"/>
    <x v="0"/>
    <x v="6"/>
    <n v="29"/>
  </r>
  <r>
    <x v="3"/>
    <x v="1"/>
    <x v="1"/>
    <x v="6"/>
    <n v="31"/>
  </r>
  <r>
    <x v="3"/>
    <x v="2"/>
    <x v="2"/>
    <x v="6"/>
    <n v="25"/>
  </r>
  <r>
    <x v="3"/>
    <x v="3"/>
    <x v="3"/>
    <x v="6"/>
    <n v="41"/>
  </r>
  <r>
    <x v="3"/>
    <x v="4"/>
    <x v="4"/>
    <x v="6"/>
    <n v="36"/>
  </r>
  <r>
    <x v="3"/>
    <x v="5"/>
    <x v="5"/>
    <x v="6"/>
    <n v="75"/>
  </r>
  <r>
    <x v="3"/>
    <x v="6"/>
    <x v="6"/>
    <x v="6"/>
    <n v="59"/>
  </r>
  <r>
    <x v="3"/>
    <x v="7"/>
    <x v="7"/>
    <x v="6"/>
    <n v="39"/>
  </r>
  <r>
    <x v="3"/>
    <x v="8"/>
    <x v="8"/>
    <x v="6"/>
    <n v="33"/>
  </r>
  <r>
    <x v="3"/>
    <x v="9"/>
    <x v="9"/>
    <x v="6"/>
    <n v="21"/>
  </r>
  <r>
    <x v="3"/>
    <x v="10"/>
    <x v="10"/>
    <x v="6"/>
    <n v="38"/>
  </r>
  <r>
    <x v="3"/>
    <x v="11"/>
    <x v="11"/>
    <x v="6"/>
    <n v="35"/>
  </r>
  <r>
    <x v="4"/>
    <x v="0"/>
    <x v="0"/>
    <x v="6"/>
    <n v="48"/>
  </r>
  <r>
    <x v="4"/>
    <x v="1"/>
    <x v="1"/>
    <x v="6"/>
    <n v="39"/>
  </r>
  <r>
    <x v="4"/>
    <x v="2"/>
    <x v="2"/>
    <x v="6"/>
    <n v="39"/>
  </r>
  <r>
    <x v="4"/>
    <x v="3"/>
    <x v="3"/>
    <x v="6"/>
    <n v="25"/>
  </r>
  <r>
    <x v="4"/>
    <x v="4"/>
    <x v="4"/>
    <x v="6"/>
    <n v="18"/>
  </r>
  <r>
    <x v="4"/>
    <x v="5"/>
    <x v="5"/>
    <x v="6"/>
    <n v="69"/>
  </r>
  <r>
    <x v="4"/>
    <x v="6"/>
    <x v="6"/>
    <x v="6"/>
    <n v="19"/>
  </r>
  <r>
    <x v="4"/>
    <x v="7"/>
    <x v="7"/>
    <x v="6"/>
    <n v="22"/>
  </r>
  <r>
    <x v="4"/>
    <x v="8"/>
    <x v="8"/>
    <x v="6"/>
    <n v="37"/>
  </r>
  <r>
    <x v="4"/>
    <x v="9"/>
    <x v="9"/>
    <x v="6"/>
    <n v="20"/>
  </r>
  <r>
    <x v="4"/>
    <x v="10"/>
    <x v="10"/>
    <x v="6"/>
    <n v="27"/>
  </r>
  <r>
    <x v="4"/>
    <x v="11"/>
    <x v="11"/>
    <x v="6"/>
    <n v="36"/>
  </r>
  <r>
    <x v="0"/>
    <x v="0"/>
    <x v="0"/>
    <x v="7"/>
    <n v="30"/>
  </r>
  <r>
    <x v="0"/>
    <x v="1"/>
    <x v="1"/>
    <x v="7"/>
    <n v="53"/>
  </r>
  <r>
    <x v="0"/>
    <x v="2"/>
    <x v="2"/>
    <x v="7"/>
    <n v="46"/>
  </r>
  <r>
    <x v="0"/>
    <x v="3"/>
    <x v="3"/>
    <x v="7"/>
    <n v="49"/>
  </r>
  <r>
    <x v="0"/>
    <x v="4"/>
    <x v="4"/>
    <x v="7"/>
    <n v="52"/>
  </r>
  <r>
    <x v="0"/>
    <x v="5"/>
    <x v="5"/>
    <x v="7"/>
    <n v="60"/>
  </r>
  <r>
    <x v="0"/>
    <x v="6"/>
    <x v="6"/>
    <x v="7"/>
    <n v="48"/>
  </r>
  <r>
    <x v="0"/>
    <x v="7"/>
    <x v="7"/>
    <x v="7"/>
    <n v="41"/>
  </r>
  <r>
    <x v="0"/>
    <x v="8"/>
    <x v="8"/>
    <x v="7"/>
    <n v="41"/>
  </r>
  <r>
    <x v="0"/>
    <x v="9"/>
    <x v="9"/>
    <x v="7"/>
    <n v="47"/>
  </r>
  <r>
    <x v="0"/>
    <x v="10"/>
    <x v="10"/>
    <x v="7"/>
    <n v="43"/>
  </r>
  <r>
    <x v="0"/>
    <x v="11"/>
    <x v="11"/>
    <x v="7"/>
    <n v="46"/>
  </r>
  <r>
    <x v="1"/>
    <x v="0"/>
    <x v="0"/>
    <x v="7"/>
    <n v="46"/>
  </r>
  <r>
    <x v="1"/>
    <x v="1"/>
    <x v="1"/>
    <x v="7"/>
    <n v="48"/>
  </r>
  <r>
    <x v="1"/>
    <x v="2"/>
    <x v="2"/>
    <x v="7"/>
    <n v="72"/>
  </r>
  <r>
    <x v="1"/>
    <x v="3"/>
    <x v="3"/>
    <x v="7"/>
    <n v="63"/>
  </r>
  <r>
    <x v="1"/>
    <x v="4"/>
    <x v="4"/>
    <x v="7"/>
    <n v="55"/>
  </r>
  <r>
    <x v="1"/>
    <x v="5"/>
    <x v="5"/>
    <x v="7"/>
    <n v="57"/>
  </r>
  <r>
    <x v="1"/>
    <x v="6"/>
    <x v="6"/>
    <x v="7"/>
    <n v="32"/>
  </r>
  <r>
    <x v="1"/>
    <x v="7"/>
    <x v="7"/>
    <x v="7"/>
    <n v="57"/>
  </r>
  <r>
    <x v="1"/>
    <x v="8"/>
    <x v="8"/>
    <x v="7"/>
    <n v="48"/>
  </r>
  <r>
    <x v="1"/>
    <x v="9"/>
    <x v="9"/>
    <x v="7"/>
    <n v="48"/>
  </r>
  <r>
    <x v="1"/>
    <x v="10"/>
    <x v="10"/>
    <x v="7"/>
    <n v="52"/>
  </r>
  <r>
    <x v="1"/>
    <x v="11"/>
    <x v="11"/>
    <x v="7"/>
    <n v="58"/>
  </r>
  <r>
    <x v="2"/>
    <x v="0"/>
    <x v="0"/>
    <x v="7"/>
    <n v="52"/>
  </r>
  <r>
    <x v="2"/>
    <x v="1"/>
    <x v="1"/>
    <x v="7"/>
    <n v="51"/>
  </r>
  <r>
    <x v="2"/>
    <x v="2"/>
    <x v="2"/>
    <x v="7"/>
    <n v="41"/>
  </r>
  <r>
    <x v="2"/>
    <x v="3"/>
    <x v="3"/>
    <x v="7"/>
    <n v="57"/>
  </r>
  <r>
    <x v="2"/>
    <x v="4"/>
    <x v="4"/>
    <x v="7"/>
    <n v="54"/>
  </r>
  <r>
    <x v="2"/>
    <x v="5"/>
    <x v="5"/>
    <x v="7"/>
    <n v="74"/>
  </r>
  <r>
    <x v="2"/>
    <x v="6"/>
    <x v="6"/>
    <x v="7"/>
    <n v="56"/>
  </r>
  <r>
    <x v="2"/>
    <x v="7"/>
    <x v="7"/>
    <x v="7"/>
    <n v="49"/>
  </r>
  <r>
    <x v="2"/>
    <x v="8"/>
    <x v="8"/>
    <x v="7"/>
    <n v="50"/>
  </r>
  <r>
    <x v="2"/>
    <x v="9"/>
    <x v="9"/>
    <x v="7"/>
    <n v="39"/>
  </r>
  <r>
    <x v="2"/>
    <x v="10"/>
    <x v="10"/>
    <x v="7"/>
    <n v="58"/>
  </r>
  <r>
    <x v="2"/>
    <x v="11"/>
    <x v="11"/>
    <x v="7"/>
    <n v="46"/>
  </r>
  <r>
    <x v="3"/>
    <x v="0"/>
    <x v="0"/>
    <x v="7"/>
    <n v="54"/>
  </r>
  <r>
    <x v="3"/>
    <x v="1"/>
    <x v="1"/>
    <x v="7"/>
    <n v="47"/>
  </r>
  <r>
    <x v="3"/>
    <x v="2"/>
    <x v="2"/>
    <x v="7"/>
    <n v="54"/>
  </r>
  <r>
    <x v="3"/>
    <x v="3"/>
    <x v="3"/>
    <x v="7"/>
    <n v="55"/>
  </r>
  <r>
    <x v="3"/>
    <x v="4"/>
    <x v="4"/>
    <x v="7"/>
    <n v="39"/>
  </r>
  <r>
    <x v="3"/>
    <x v="5"/>
    <x v="5"/>
    <x v="7"/>
    <n v="41"/>
  </r>
  <r>
    <x v="3"/>
    <x v="6"/>
    <x v="6"/>
    <x v="7"/>
    <n v="73"/>
  </r>
  <r>
    <x v="3"/>
    <x v="7"/>
    <x v="7"/>
    <x v="7"/>
    <n v="40"/>
  </r>
  <r>
    <x v="3"/>
    <x v="8"/>
    <x v="8"/>
    <x v="7"/>
    <n v="50"/>
  </r>
  <r>
    <x v="3"/>
    <x v="9"/>
    <x v="9"/>
    <x v="7"/>
    <n v="40"/>
  </r>
  <r>
    <x v="3"/>
    <x v="10"/>
    <x v="10"/>
    <x v="7"/>
    <n v="41"/>
  </r>
  <r>
    <x v="3"/>
    <x v="11"/>
    <x v="11"/>
    <x v="7"/>
    <n v="37"/>
  </r>
  <r>
    <x v="4"/>
    <x v="0"/>
    <x v="0"/>
    <x v="7"/>
    <n v="37"/>
  </r>
  <r>
    <x v="4"/>
    <x v="1"/>
    <x v="1"/>
    <x v="7"/>
    <n v="41"/>
  </r>
  <r>
    <x v="4"/>
    <x v="2"/>
    <x v="2"/>
    <x v="7"/>
    <n v="39"/>
  </r>
  <r>
    <x v="4"/>
    <x v="3"/>
    <x v="3"/>
    <x v="7"/>
    <n v="70"/>
  </r>
  <r>
    <x v="4"/>
    <x v="4"/>
    <x v="4"/>
    <x v="7"/>
    <n v="32"/>
  </r>
  <r>
    <x v="4"/>
    <x v="5"/>
    <x v="5"/>
    <x v="7"/>
    <n v="51"/>
  </r>
  <r>
    <x v="4"/>
    <x v="6"/>
    <x v="6"/>
    <x v="7"/>
    <n v="32"/>
  </r>
  <r>
    <x v="4"/>
    <x v="7"/>
    <x v="7"/>
    <x v="7"/>
    <n v="71"/>
  </r>
  <r>
    <x v="4"/>
    <x v="8"/>
    <x v="8"/>
    <x v="7"/>
    <n v="51"/>
  </r>
  <r>
    <x v="4"/>
    <x v="9"/>
    <x v="9"/>
    <x v="7"/>
    <n v="53"/>
  </r>
  <r>
    <x v="4"/>
    <x v="10"/>
    <x v="10"/>
    <x v="7"/>
    <n v="57"/>
  </r>
  <r>
    <x v="4"/>
    <x v="11"/>
    <x v="11"/>
    <x v="7"/>
    <n v="59"/>
  </r>
  <r>
    <x v="0"/>
    <x v="0"/>
    <x v="0"/>
    <x v="8"/>
    <n v="2375"/>
  </r>
  <r>
    <x v="0"/>
    <x v="1"/>
    <x v="1"/>
    <x v="8"/>
    <n v="2265"/>
  </r>
  <r>
    <x v="0"/>
    <x v="2"/>
    <x v="2"/>
    <x v="8"/>
    <n v="2821"/>
  </r>
  <r>
    <x v="0"/>
    <x v="3"/>
    <x v="3"/>
    <x v="8"/>
    <n v="3323"/>
  </r>
  <r>
    <x v="0"/>
    <x v="4"/>
    <x v="4"/>
    <x v="8"/>
    <n v="3560"/>
  </r>
  <r>
    <x v="0"/>
    <x v="5"/>
    <x v="5"/>
    <x v="8"/>
    <n v="3321"/>
  </r>
  <r>
    <x v="0"/>
    <x v="6"/>
    <x v="6"/>
    <x v="8"/>
    <n v="3073"/>
  </r>
  <r>
    <x v="0"/>
    <x v="7"/>
    <x v="7"/>
    <x v="8"/>
    <n v="2294"/>
  </r>
  <r>
    <x v="0"/>
    <x v="8"/>
    <x v="8"/>
    <x v="8"/>
    <n v="2344"/>
  </r>
  <r>
    <x v="0"/>
    <x v="9"/>
    <x v="9"/>
    <x v="8"/>
    <n v="2081"/>
  </r>
  <r>
    <x v="0"/>
    <x v="10"/>
    <x v="10"/>
    <x v="8"/>
    <n v="2525"/>
  </r>
  <r>
    <x v="0"/>
    <x v="11"/>
    <x v="11"/>
    <x v="8"/>
    <n v="3050"/>
  </r>
  <r>
    <x v="1"/>
    <x v="0"/>
    <x v="0"/>
    <x v="8"/>
    <n v="2543"/>
  </r>
  <r>
    <x v="1"/>
    <x v="1"/>
    <x v="1"/>
    <x v="8"/>
    <n v="2610"/>
  </r>
  <r>
    <x v="1"/>
    <x v="2"/>
    <x v="2"/>
    <x v="8"/>
    <n v="2847"/>
  </r>
  <r>
    <x v="1"/>
    <x v="3"/>
    <x v="3"/>
    <x v="8"/>
    <n v="3629"/>
  </r>
  <r>
    <x v="1"/>
    <x v="4"/>
    <x v="4"/>
    <x v="8"/>
    <n v="2840"/>
  </r>
  <r>
    <x v="1"/>
    <x v="5"/>
    <x v="5"/>
    <x v="8"/>
    <n v="3634"/>
  </r>
  <r>
    <x v="1"/>
    <x v="6"/>
    <x v="6"/>
    <x v="8"/>
    <n v="2405"/>
  </r>
  <r>
    <x v="1"/>
    <x v="7"/>
    <x v="7"/>
    <x v="8"/>
    <n v="3085"/>
  </r>
  <r>
    <x v="1"/>
    <x v="8"/>
    <x v="8"/>
    <x v="8"/>
    <n v="2794"/>
  </r>
  <r>
    <x v="1"/>
    <x v="9"/>
    <x v="9"/>
    <x v="8"/>
    <n v="2378"/>
  </r>
  <r>
    <x v="1"/>
    <x v="10"/>
    <x v="10"/>
    <x v="8"/>
    <n v="2971"/>
  </r>
  <r>
    <x v="1"/>
    <x v="11"/>
    <x v="11"/>
    <x v="8"/>
    <n v="3284"/>
  </r>
  <r>
    <x v="2"/>
    <x v="0"/>
    <x v="0"/>
    <x v="8"/>
    <n v="2830"/>
  </r>
  <r>
    <x v="2"/>
    <x v="1"/>
    <x v="1"/>
    <x v="8"/>
    <n v="2632"/>
  </r>
  <r>
    <x v="2"/>
    <x v="2"/>
    <x v="2"/>
    <x v="8"/>
    <n v="2771"/>
  </r>
  <r>
    <x v="2"/>
    <x v="3"/>
    <x v="3"/>
    <x v="8"/>
    <n v="2959"/>
  </r>
  <r>
    <x v="2"/>
    <x v="4"/>
    <x v="4"/>
    <x v="8"/>
    <n v="3668"/>
  </r>
  <r>
    <x v="2"/>
    <x v="5"/>
    <x v="5"/>
    <x v="8"/>
    <n v="3095"/>
  </r>
  <r>
    <x v="2"/>
    <x v="6"/>
    <x v="6"/>
    <x v="8"/>
    <n v="3050"/>
  </r>
  <r>
    <x v="2"/>
    <x v="7"/>
    <x v="7"/>
    <x v="8"/>
    <n v="2187"/>
  </r>
  <r>
    <x v="2"/>
    <x v="8"/>
    <x v="8"/>
    <x v="8"/>
    <n v="2674"/>
  </r>
  <r>
    <x v="2"/>
    <x v="9"/>
    <x v="9"/>
    <x v="8"/>
    <n v="2657"/>
  </r>
  <r>
    <x v="2"/>
    <x v="10"/>
    <x v="10"/>
    <x v="8"/>
    <n v="3103"/>
  </r>
  <r>
    <x v="2"/>
    <x v="11"/>
    <x v="11"/>
    <x v="8"/>
    <n v="3137"/>
  </r>
  <r>
    <x v="3"/>
    <x v="0"/>
    <x v="0"/>
    <x v="8"/>
    <n v="2838"/>
  </r>
  <r>
    <x v="3"/>
    <x v="1"/>
    <x v="1"/>
    <x v="8"/>
    <n v="2922"/>
  </r>
  <r>
    <x v="3"/>
    <x v="2"/>
    <x v="2"/>
    <x v="8"/>
    <n v="2940"/>
  </r>
  <r>
    <x v="3"/>
    <x v="3"/>
    <x v="3"/>
    <x v="8"/>
    <n v="3451"/>
  </r>
  <r>
    <x v="3"/>
    <x v="4"/>
    <x v="4"/>
    <x v="8"/>
    <n v="3444"/>
  </r>
  <r>
    <x v="3"/>
    <x v="5"/>
    <x v="5"/>
    <x v="8"/>
    <n v="4084"/>
  </r>
  <r>
    <x v="3"/>
    <x v="6"/>
    <x v="6"/>
    <x v="8"/>
    <n v="3209"/>
  </r>
  <r>
    <x v="3"/>
    <x v="7"/>
    <x v="7"/>
    <x v="8"/>
    <n v="2664"/>
  </r>
  <r>
    <x v="3"/>
    <x v="8"/>
    <x v="8"/>
    <x v="8"/>
    <n v="2554"/>
  </r>
  <r>
    <x v="3"/>
    <x v="9"/>
    <x v="9"/>
    <x v="8"/>
    <n v="2621"/>
  </r>
  <r>
    <x v="3"/>
    <x v="10"/>
    <x v="10"/>
    <x v="8"/>
    <n v="2779"/>
  </r>
  <r>
    <x v="3"/>
    <x v="11"/>
    <x v="11"/>
    <x v="8"/>
    <n v="3115"/>
  </r>
  <r>
    <x v="4"/>
    <x v="0"/>
    <x v="0"/>
    <x v="8"/>
    <n v="3089"/>
  </r>
  <r>
    <x v="4"/>
    <x v="1"/>
    <x v="1"/>
    <x v="8"/>
    <n v="2734"/>
  </r>
  <r>
    <x v="4"/>
    <x v="2"/>
    <x v="2"/>
    <x v="8"/>
    <n v="2677"/>
  </r>
  <r>
    <x v="4"/>
    <x v="3"/>
    <x v="3"/>
    <x v="8"/>
    <n v="3764"/>
  </r>
  <r>
    <x v="4"/>
    <x v="4"/>
    <x v="4"/>
    <x v="8"/>
    <n v="2902"/>
  </r>
  <r>
    <x v="4"/>
    <x v="5"/>
    <x v="5"/>
    <x v="8"/>
    <n v="3280"/>
  </r>
  <r>
    <x v="4"/>
    <x v="6"/>
    <x v="6"/>
    <x v="8"/>
    <n v="2218"/>
  </r>
  <r>
    <x v="4"/>
    <x v="7"/>
    <x v="7"/>
    <x v="8"/>
    <n v="2590"/>
  </r>
  <r>
    <x v="4"/>
    <x v="8"/>
    <x v="8"/>
    <x v="8"/>
    <n v="2868"/>
  </r>
  <r>
    <x v="4"/>
    <x v="9"/>
    <x v="9"/>
    <x v="8"/>
    <n v="2373"/>
  </r>
  <r>
    <x v="4"/>
    <x v="10"/>
    <x v="10"/>
    <x v="8"/>
    <n v="2796"/>
  </r>
  <r>
    <x v="4"/>
    <x v="11"/>
    <x v="11"/>
    <x v="8"/>
    <n v="295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n v="447"/>
    <n v="115"/>
    <n v="562"/>
  </r>
  <r>
    <x v="0"/>
    <x v="1"/>
    <x v="1"/>
    <n v="396"/>
    <n v="136"/>
    <n v="532"/>
  </r>
  <r>
    <x v="0"/>
    <x v="2"/>
    <x v="2"/>
    <n v="661"/>
    <n v="317"/>
    <n v="978"/>
  </r>
  <r>
    <x v="0"/>
    <x v="3"/>
    <x v="3"/>
    <n v="684"/>
    <n v="358"/>
    <n v="1042"/>
  </r>
  <r>
    <x v="0"/>
    <x v="4"/>
    <x v="4"/>
    <n v="668"/>
    <n v="312"/>
    <n v="980"/>
  </r>
  <r>
    <x v="0"/>
    <x v="5"/>
    <x v="5"/>
    <n v="691"/>
    <n v="374"/>
    <n v="1065"/>
  </r>
  <r>
    <x v="0"/>
    <x v="6"/>
    <x v="6"/>
    <n v="634"/>
    <n v="364"/>
    <n v="998"/>
  </r>
  <r>
    <x v="0"/>
    <x v="7"/>
    <x v="7"/>
    <n v="576"/>
    <n v="229"/>
    <n v="805"/>
  </r>
  <r>
    <x v="0"/>
    <x v="8"/>
    <x v="8"/>
    <n v="612"/>
    <n v="305"/>
    <n v="917"/>
  </r>
  <r>
    <x v="0"/>
    <x v="9"/>
    <x v="9"/>
    <n v="515"/>
    <n v="228"/>
    <n v="743"/>
  </r>
  <r>
    <x v="0"/>
    <x v="10"/>
    <x v="10"/>
    <n v="612"/>
    <n v="402"/>
    <n v="1014"/>
  </r>
  <r>
    <x v="0"/>
    <x v="11"/>
    <x v="11"/>
    <n v="766"/>
    <n v="538"/>
    <n v="1304"/>
  </r>
  <r>
    <x v="1"/>
    <x v="0"/>
    <x v="0"/>
    <n v="574"/>
    <n v="376"/>
    <n v="950"/>
  </r>
  <r>
    <x v="1"/>
    <x v="1"/>
    <x v="1"/>
    <n v="650"/>
    <n v="336"/>
    <n v="986"/>
  </r>
  <r>
    <x v="1"/>
    <x v="2"/>
    <x v="2"/>
    <n v="645"/>
    <n v="389"/>
    <n v="1034"/>
  </r>
  <r>
    <x v="1"/>
    <x v="3"/>
    <x v="3"/>
    <n v="750"/>
    <n v="297"/>
    <n v="1047"/>
  </r>
  <r>
    <x v="1"/>
    <x v="4"/>
    <x v="4"/>
    <n v="565"/>
    <n v="356"/>
    <n v="921"/>
  </r>
  <r>
    <x v="1"/>
    <x v="5"/>
    <x v="5"/>
    <n v="745"/>
    <n v="368"/>
    <n v="1113"/>
  </r>
  <r>
    <x v="1"/>
    <x v="6"/>
    <x v="6"/>
    <n v="516"/>
    <n v="216"/>
    <n v="732"/>
  </r>
  <r>
    <x v="1"/>
    <x v="7"/>
    <x v="7"/>
    <n v="757"/>
    <n v="347"/>
    <n v="1104"/>
  </r>
  <r>
    <x v="1"/>
    <x v="8"/>
    <x v="8"/>
    <n v="676"/>
    <n v="377"/>
    <n v="1053"/>
  </r>
  <r>
    <x v="1"/>
    <x v="9"/>
    <x v="9"/>
    <n v="611"/>
    <n v="245"/>
    <n v="856"/>
  </r>
  <r>
    <x v="1"/>
    <x v="10"/>
    <x v="10"/>
    <n v="753"/>
    <n v="404"/>
    <n v="1157"/>
  </r>
  <r>
    <x v="1"/>
    <x v="11"/>
    <x v="11"/>
    <n v="738"/>
    <n v="462"/>
    <n v="1200"/>
  </r>
  <r>
    <x v="2"/>
    <x v="0"/>
    <x v="0"/>
    <n v="638"/>
    <n v="369"/>
    <n v="1007"/>
  </r>
  <r>
    <x v="2"/>
    <x v="1"/>
    <x v="1"/>
    <n v="584"/>
    <n v="385"/>
    <n v="969"/>
  </r>
  <r>
    <x v="2"/>
    <x v="2"/>
    <x v="2"/>
    <n v="573"/>
    <n v="349"/>
    <n v="922"/>
  </r>
  <r>
    <x v="2"/>
    <x v="3"/>
    <x v="3"/>
    <n v="703"/>
    <n v="331"/>
    <n v="1034"/>
  </r>
  <r>
    <x v="2"/>
    <x v="4"/>
    <x v="4"/>
    <n v="720"/>
    <n v="294"/>
    <n v="1014"/>
  </r>
  <r>
    <x v="2"/>
    <x v="5"/>
    <x v="5"/>
    <n v="655"/>
    <n v="332"/>
    <n v="987"/>
  </r>
  <r>
    <x v="2"/>
    <x v="6"/>
    <x v="6"/>
    <n v="691"/>
    <n v="308"/>
    <n v="999"/>
  </r>
  <r>
    <x v="2"/>
    <x v="7"/>
    <x v="7"/>
    <n v="523"/>
    <n v="226"/>
    <n v="749"/>
  </r>
  <r>
    <x v="2"/>
    <x v="8"/>
    <x v="8"/>
    <n v="686"/>
    <n v="377"/>
    <n v="1063"/>
  </r>
  <r>
    <x v="2"/>
    <x v="9"/>
    <x v="9"/>
    <n v="682"/>
    <n v="346"/>
    <n v="1028"/>
  </r>
  <r>
    <x v="2"/>
    <x v="10"/>
    <x v="10"/>
    <n v="802"/>
    <n v="430"/>
    <n v="1232"/>
  </r>
  <r>
    <x v="2"/>
    <x v="11"/>
    <x v="11"/>
    <n v="832"/>
    <n v="594"/>
    <n v="1426"/>
  </r>
  <r>
    <x v="3"/>
    <x v="0"/>
    <x v="0"/>
    <n v="757"/>
    <n v="373"/>
    <n v="1130"/>
  </r>
  <r>
    <x v="3"/>
    <x v="1"/>
    <x v="1"/>
    <n v="619"/>
    <n v="371"/>
    <n v="990"/>
  </r>
  <r>
    <x v="3"/>
    <x v="2"/>
    <x v="2"/>
    <n v="592"/>
    <n v="356"/>
    <n v="948"/>
  </r>
  <r>
    <x v="3"/>
    <x v="3"/>
    <x v="3"/>
    <n v="688"/>
    <n v="416"/>
    <n v="1104"/>
  </r>
  <r>
    <x v="3"/>
    <x v="4"/>
    <x v="4"/>
    <n v="629"/>
    <n v="244"/>
    <n v="873"/>
  </r>
  <r>
    <x v="3"/>
    <x v="5"/>
    <x v="5"/>
    <n v="720"/>
    <n v="333"/>
    <n v="1053"/>
  </r>
  <r>
    <x v="3"/>
    <x v="6"/>
    <x v="6"/>
    <n v="566"/>
    <n v="276"/>
    <n v="842"/>
  </r>
  <r>
    <x v="3"/>
    <x v="7"/>
    <x v="7"/>
    <n v="569"/>
    <n v="287"/>
    <n v="856"/>
  </r>
  <r>
    <x v="3"/>
    <x v="8"/>
    <x v="8"/>
    <n v="584"/>
    <n v="272"/>
    <n v="856"/>
  </r>
  <r>
    <x v="3"/>
    <x v="9"/>
    <x v="9"/>
    <n v="556"/>
    <n v="275"/>
    <n v="831"/>
  </r>
  <r>
    <x v="3"/>
    <x v="10"/>
    <x v="10"/>
    <n v="625"/>
    <n v="350"/>
    <n v="975"/>
  </r>
  <r>
    <x v="3"/>
    <x v="11"/>
    <x v="11"/>
    <n v="681"/>
    <n v="495"/>
    <n v="1176"/>
  </r>
  <r>
    <x v="4"/>
    <x v="0"/>
    <x v="0"/>
    <n v="559"/>
    <n v="361"/>
    <n v="920"/>
  </r>
  <r>
    <x v="4"/>
    <x v="1"/>
    <x v="1"/>
    <n v="583"/>
    <n v="339"/>
    <n v="922"/>
  </r>
  <r>
    <x v="4"/>
    <x v="2"/>
    <x v="2"/>
    <n v="514"/>
    <n v="296"/>
    <n v="810"/>
  </r>
  <r>
    <x v="4"/>
    <x v="3"/>
    <x v="3"/>
    <n v="712"/>
    <n v="318"/>
    <n v="1030"/>
  </r>
  <r>
    <x v="4"/>
    <x v="4"/>
    <x v="4"/>
    <n v="519"/>
    <n v="220"/>
    <n v="739"/>
  </r>
  <r>
    <x v="4"/>
    <x v="5"/>
    <x v="5"/>
    <n v="631"/>
    <n v="266"/>
    <n v="897"/>
  </r>
  <r>
    <x v="4"/>
    <x v="6"/>
    <x v="6"/>
    <n v="446"/>
    <n v="173"/>
    <n v="619"/>
  </r>
  <r>
    <x v="4"/>
    <x v="7"/>
    <x v="7"/>
    <n v="543"/>
    <n v="212"/>
    <n v="755"/>
  </r>
  <r>
    <x v="4"/>
    <x v="8"/>
    <x v="8"/>
    <n v="672"/>
    <n v="293"/>
    <n v="965"/>
  </r>
  <r>
    <x v="4"/>
    <x v="9"/>
    <x v="9"/>
    <n v="563"/>
    <n v="231"/>
    <n v="794"/>
  </r>
  <r>
    <x v="4"/>
    <x v="10"/>
    <x v="10"/>
    <n v="605"/>
    <n v="393"/>
    <n v="998"/>
  </r>
  <r>
    <x v="4"/>
    <x v="11"/>
    <x v="11"/>
    <n v="587"/>
    <n v="382"/>
    <n v="96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n v="791"/>
    <n v="67"/>
    <n v="858"/>
  </r>
  <r>
    <x v="0"/>
    <x v="1"/>
    <x v="1"/>
    <n v="747"/>
    <n v="106"/>
    <n v="853"/>
  </r>
  <r>
    <x v="0"/>
    <x v="2"/>
    <x v="2"/>
    <n v="1027"/>
    <n v="240"/>
    <n v="1267"/>
  </r>
  <r>
    <x v="0"/>
    <x v="3"/>
    <x v="3"/>
    <n v="1077"/>
    <n v="287"/>
    <n v="1364"/>
  </r>
  <r>
    <x v="0"/>
    <x v="4"/>
    <x v="4"/>
    <n v="982"/>
    <n v="233"/>
    <n v="1215"/>
  </r>
  <r>
    <x v="0"/>
    <x v="5"/>
    <x v="5"/>
    <n v="991"/>
    <n v="304"/>
    <n v="1295"/>
  </r>
  <r>
    <x v="0"/>
    <x v="6"/>
    <x v="6"/>
    <n v="946"/>
    <n v="291"/>
    <n v="1237"/>
  </r>
  <r>
    <x v="0"/>
    <x v="7"/>
    <x v="7"/>
    <n v="756"/>
    <n v="181"/>
    <n v="937"/>
  </r>
  <r>
    <x v="0"/>
    <x v="8"/>
    <x v="8"/>
    <n v="913"/>
    <n v="226"/>
    <n v="1139"/>
  </r>
  <r>
    <x v="0"/>
    <x v="9"/>
    <x v="9"/>
    <n v="762"/>
    <n v="199"/>
    <n v="961"/>
  </r>
  <r>
    <x v="0"/>
    <x v="10"/>
    <x v="10"/>
    <n v="809"/>
    <n v="312"/>
    <n v="1121"/>
  </r>
  <r>
    <x v="0"/>
    <x v="11"/>
    <x v="11"/>
    <n v="1100"/>
    <n v="450"/>
    <n v="1550"/>
  </r>
  <r>
    <x v="1"/>
    <x v="0"/>
    <x v="0"/>
    <n v="976"/>
    <n v="289"/>
    <n v="1265"/>
  </r>
  <r>
    <x v="1"/>
    <x v="1"/>
    <x v="1"/>
    <n v="903"/>
    <n v="291"/>
    <n v="1194"/>
  </r>
  <r>
    <x v="1"/>
    <x v="2"/>
    <x v="2"/>
    <n v="1031"/>
    <n v="304"/>
    <n v="1335"/>
  </r>
  <r>
    <x v="1"/>
    <x v="3"/>
    <x v="3"/>
    <n v="928"/>
    <n v="287"/>
    <n v="1215"/>
  </r>
  <r>
    <x v="1"/>
    <x v="4"/>
    <x v="4"/>
    <n v="984"/>
    <n v="259"/>
    <n v="1243"/>
  </r>
  <r>
    <x v="1"/>
    <x v="5"/>
    <x v="5"/>
    <n v="998"/>
    <n v="296"/>
    <n v="1294"/>
  </r>
  <r>
    <x v="1"/>
    <x v="6"/>
    <x v="6"/>
    <n v="587"/>
    <n v="182"/>
    <n v="769"/>
  </r>
  <r>
    <x v="1"/>
    <x v="7"/>
    <x v="7"/>
    <n v="940"/>
    <n v="277"/>
    <n v="1217"/>
  </r>
  <r>
    <x v="1"/>
    <x v="8"/>
    <x v="8"/>
    <n v="904"/>
    <n v="285"/>
    <n v="1189"/>
  </r>
  <r>
    <x v="1"/>
    <x v="9"/>
    <x v="9"/>
    <n v="792"/>
    <n v="193"/>
    <n v="985"/>
  </r>
  <r>
    <x v="1"/>
    <x v="10"/>
    <x v="10"/>
    <n v="846"/>
    <n v="329"/>
    <n v="1175"/>
  </r>
  <r>
    <x v="1"/>
    <x v="11"/>
    <x v="11"/>
    <n v="912"/>
    <n v="447"/>
    <n v="1359"/>
  </r>
  <r>
    <x v="2"/>
    <x v="0"/>
    <x v="0"/>
    <n v="917"/>
    <n v="308"/>
    <n v="1225"/>
  </r>
  <r>
    <x v="2"/>
    <x v="1"/>
    <x v="1"/>
    <n v="954"/>
    <n v="296"/>
    <n v="1250"/>
  </r>
  <r>
    <x v="2"/>
    <x v="2"/>
    <x v="2"/>
    <n v="971"/>
    <n v="280"/>
    <n v="1251"/>
  </r>
  <r>
    <x v="2"/>
    <x v="3"/>
    <x v="3"/>
    <n v="1044"/>
    <n v="271"/>
    <n v="1315"/>
  </r>
  <r>
    <x v="2"/>
    <x v="4"/>
    <x v="4"/>
    <n v="1059"/>
    <n v="248"/>
    <n v="1307"/>
  </r>
  <r>
    <x v="2"/>
    <x v="5"/>
    <x v="5"/>
    <n v="981"/>
    <n v="274"/>
    <n v="1255"/>
  </r>
  <r>
    <x v="2"/>
    <x v="6"/>
    <x v="6"/>
    <n v="897"/>
    <n v="258"/>
    <n v="1155"/>
  </r>
  <r>
    <x v="2"/>
    <x v="7"/>
    <x v="7"/>
    <n v="619"/>
    <n v="180"/>
    <n v="799"/>
  </r>
  <r>
    <x v="2"/>
    <x v="8"/>
    <x v="8"/>
    <n v="915"/>
    <n v="296"/>
    <n v="1211"/>
  </r>
  <r>
    <x v="2"/>
    <x v="9"/>
    <x v="9"/>
    <n v="802"/>
    <n v="288"/>
    <n v="1090"/>
  </r>
  <r>
    <x v="2"/>
    <x v="10"/>
    <x v="10"/>
    <n v="922"/>
    <n v="362"/>
    <n v="1284"/>
  </r>
  <r>
    <x v="2"/>
    <x v="11"/>
    <x v="11"/>
    <n v="865"/>
    <n v="456"/>
    <n v="1321"/>
  </r>
  <r>
    <x v="3"/>
    <x v="0"/>
    <x v="0"/>
    <n v="926"/>
    <n v="336"/>
    <n v="1262"/>
  </r>
  <r>
    <x v="3"/>
    <x v="1"/>
    <x v="1"/>
    <n v="938"/>
    <n v="340"/>
    <n v="1278"/>
  </r>
  <r>
    <x v="3"/>
    <x v="2"/>
    <x v="2"/>
    <n v="987"/>
    <n v="343"/>
    <n v="1330"/>
  </r>
  <r>
    <x v="3"/>
    <x v="3"/>
    <x v="3"/>
    <n v="1107"/>
    <n v="428"/>
    <n v="1535"/>
  </r>
  <r>
    <x v="3"/>
    <x v="4"/>
    <x v="4"/>
    <n v="846"/>
    <n v="216"/>
    <n v="1062"/>
  </r>
  <r>
    <x v="3"/>
    <x v="5"/>
    <x v="5"/>
    <n v="994"/>
    <n v="300"/>
    <n v="1294"/>
  </r>
  <r>
    <x v="3"/>
    <x v="6"/>
    <x v="6"/>
    <n v="762"/>
    <n v="231"/>
    <n v="993"/>
  </r>
  <r>
    <x v="3"/>
    <x v="7"/>
    <x v="7"/>
    <n v="750"/>
    <n v="254"/>
    <n v="1004"/>
  </r>
  <r>
    <x v="3"/>
    <x v="8"/>
    <x v="8"/>
    <n v="803"/>
    <n v="264"/>
    <n v="1067"/>
  </r>
  <r>
    <x v="3"/>
    <x v="9"/>
    <x v="9"/>
    <n v="851"/>
    <n v="267"/>
    <n v="1118"/>
  </r>
  <r>
    <x v="3"/>
    <x v="10"/>
    <x v="10"/>
    <n v="747"/>
    <n v="358"/>
    <n v="1105"/>
  </r>
  <r>
    <x v="3"/>
    <x v="11"/>
    <x v="11"/>
    <n v="811"/>
    <n v="439"/>
    <n v="1250"/>
  </r>
  <r>
    <x v="4"/>
    <x v="0"/>
    <x v="0"/>
    <n v="934"/>
    <n v="347"/>
    <n v="1281"/>
  </r>
  <r>
    <x v="4"/>
    <x v="1"/>
    <x v="1"/>
    <n v="899"/>
    <n v="301"/>
    <n v="1200"/>
  </r>
  <r>
    <x v="4"/>
    <x v="2"/>
    <x v="2"/>
    <n v="967"/>
    <n v="231"/>
    <n v="1198"/>
  </r>
  <r>
    <x v="4"/>
    <x v="3"/>
    <x v="3"/>
    <n v="1052"/>
    <n v="265"/>
    <n v="1317"/>
  </r>
  <r>
    <x v="4"/>
    <x v="4"/>
    <x v="4"/>
    <n v="862"/>
    <n v="177"/>
    <n v="1039"/>
  </r>
  <r>
    <x v="4"/>
    <x v="5"/>
    <x v="5"/>
    <n v="893"/>
    <n v="227"/>
    <n v="1120"/>
  </r>
  <r>
    <x v="4"/>
    <x v="6"/>
    <x v="6"/>
    <n v="591"/>
    <n v="182"/>
    <n v="773"/>
  </r>
  <r>
    <x v="4"/>
    <x v="7"/>
    <x v="7"/>
    <n v="835"/>
    <n v="232"/>
    <n v="1067"/>
  </r>
  <r>
    <x v="4"/>
    <x v="8"/>
    <x v="8"/>
    <n v="891"/>
    <n v="266"/>
    <n v="1157"/>
  </r>
  <r>
    <x v="4"/>
    <x v="9"/>
    <x v="9"/>
    <n v="736"/>
    <n v="214"/>
    <n v="950"/>
  </r>
  <r>
    <x v="4"/>
    <x v="10"/>
    <x v="10"/>
    <n v="793"/>
    <n v="319"/>
    <n v="1112"/>
  </r>
  <r>
    <x v="4"/>
    <x v="11"/>
    <x v="11"/>
    <n v="767"/>
    <n v="338"/>
    <n v="110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s v="Dental"/>
    <n v="280"/>
    <n v="21"/>
    <n v="259"/>
  </r>
  <r>
    <x v="0"/>
    <x v="1"/>
    <x v="1"/>
    <s v="Dental"/>
    <n v="260"/>
    <n v="43"/>
    <n v="217"/>
  </r>
  <r>
    <x v="0"/>
    <x v="2"/>
    <x v="2"/>
    <s v="Dental"/>
    <n v="424"/>
    <n v="66"/>
    <n v="358"/>
  </r>
  <r>
    <x v="0"/>
    <x v="3"/>
    <x v="3"/>
    <s v="Dental"/>
    <n v="461"/>
    <n v="65"/>
    <n v="396"/>
  </r>
  <r>
    <x v="0"/>
    <x v="4"/>
    <x v="4"/>
    <s v="Dental"/>
    <n v="395"/>
    <n v="64"/>
    <n v="331"/>
  </r>
  <r>
    <x v="0"/>
    <x v="5"/>
    <x v="5"/>
    <s v="Dental"/>
    <n v="401"/>
    <n v="54"/>
    <n v="347"/>
  </r>
  <r>
    <x v="0"/>
    <x v="6"/>
    <x v="6"/>
    <s v="Dental"/>
    <n v="407"/>
    <n v="53"/>
    <n v="354"/>
  </r>
  <r>
    <x v="0"/>
    <x v="7"/>
    <x v="7"/>
    <s v="Dental"/>
    <n v="371"/>
    <n v="35"/>
    <n v="336"/>
  </r>
  <r>
    <x v="0"/>
    <x v="8"/>
    <x v="8"/>
    <s v="Dental"/>
    <n v="442"/>
    <n v="40"/>
    <n v="402"/>
  </r>
  <r>
    <x v="0"/>
    <x v="9"/>
    <x v="9"/>
    <s v="Dental"/>
    <n v="330"/>
    <n v="39"/>
    <n v="291"/>
  </r>
  <r>
    <x v="0"/>
    <x v="10"/>
    <x v="10"/>
    <s v="Dental"/>
    <n v="400"/>
    <n v="46"/>
    <n v="354"/>
  </r>
  <r>
    <x v="0"/>
    <x v="11"/>
    <x v="11"/>
    <s v="Dental"/>
    <n v="536"/>
    <n v="75"/>
    <n v="461"/>
  </r>
  <r>
    <x v="1"/>
    <x v="0"/>
    <x v="0"/>
    <s v="Dental"/>
    <n v="423"/>
    <n v="75"/>
    <n v="348"/>
  </r>
  <r>
    <x v="1"/>
    <x v="1"/>
    <x v="1"/>
    <s v="Dental"/>
    <n v="443"/>
    <n v="50"/>
    <n v="393"/>
  </r>
  <r>
    <x v="1"/>
    <x v="2"/>
    <x v="2"/>
    <s v="Dental"/>
    <n v="378"/>
    <n v="59"/>
    <n v="319"/>
  </r>
  <r>
    <x v="1"/>
    <x v="3"/>
    <x v="3"/>
    <s v="Dental"/>
    <n v="248"/>
    <n v="41"/>
    <n v="207"/>
  </r>
  <r>
    <x v="1"/>
    <x v="4"/>
    <x v="4"/>
    <s v="Dental"/>
    <n v="305"/>
    <n v="43"/>
    <n v="262"/>
  </r>
  <r>
    <x v="1"/>
    <x v="5"/>
    <x v="5"/>
    <s v="Dental"/>
    <n v="437"/>
    <n v="64"/>
    <n v="373"/>
  </r>
  <r>
    <x v="1"/>
    <x v="6"/>
    <x v="6"/>
    <s v="Dental"/>
    <n v="287"/>
    <n v="53"/>
    <n v="234"/>
  </r>
  <r>
    <x v="1"/>
    <x v="7"/>
    <x v="7"/>
    <s v="Dental"/>
    <n v="483"/>
    <n v="46"/>
    <n v="437"/>
  </r>
  <r>
    <x v="1"/>
    <x v="8"/>
    <x v="8"/>
    <s v="Dental"/>
    <n v="461"/>
    <n v="77"/>
    <n v="384"/>
  </r>
  <r>
    <x v="1"/>
    <x v="9"/>
    <x v="9"/>
    <s v="Dental"/>
    <n v="422"/>
    <n v="79"/>
    <n v="343"/>
  </r>
  <r>
    <x v="1"/>
    <x v="10"/>
    <x v="10"/>
    <s v="Dental"/>
    <n v="406"/>
    <n v="70"/>
    <n v="336"/>
  </r>
  <r>
    <x v="1"/>
    <x v="11"/>
    <x v="11"/>
    <s v="Dental"/>
    <n v="457"/>
    <n v="72"/>
    <n v="385"/>
  </r>
  <r>
    <x v="2"/>
    <x v="0"/>
    <x v="0"/>
    <s v="Dental"/>
    <n v="468"/>
    <n v="76"/>
    <n v="392"/>
  </r>
  <r>
    <x v="2"/>
    <x v="1"/>
    <x v="1"/>
    <s v="Dental"/>
    <n v="441"/>
    <n v="71"/>
    <n v="370"/>
  </r>
  <r>
    <x v="2"/>
    <x v="2"/>
    <x v="2"/>
    <s v="Dental"/>
    <n v="436"/>
    <n v="55"/>
    <n v="381"/>
  </r>
  <r>
    <x v="2"/>
    <x v="3"/>
    <x v="3"/>
    <s v="Dental"/>
    <n v="489"/>
    <n v="75"/>
    <n v="414"/>
  </r>
  <r>
    <x v="2"/>
    <x v="4"/>
    <x v="4"/>
    <s v="Dental"/>
    <n v="461"/>
    <n v="53"/>
    <n v="408"/>
  </r>
  <r>
    <x v="2"/>
    <x v="5"/>
    <x v="5"/>
    <s v="Dental"/>
    <n v="454"/>
    <n v="62"/>
    <n v="392"/>
  </r>
  <r>
    <x v="2"/>
    <x v="6"/>
    <x v="6"/>
    <s v="Dental"/>
    <n v="450"/>
    <n v="73"/>
    <n v="377"/>
  </r>
  <r>
    <x v="2"/>
    <x v="7"/>
    <x v="7"/>
    <s v="Dental"/>
    <n v="347"/>
    <n v="61"/>
    <n v="286"/>
  </r>
  <r>
    <x v="2"/>
    <x v="8"/>
    <x v="8"/>
    <s v="Dental"/>
    <n v="459"/>
    <n v="74"/>
    <n v="385"/>
  </r>
  <r>
    <x v="2"/>
    <x v="9"/>
    <x v="9"/>
    <s v="Dental"/>
    <n v="453"/>
    <n v="68"/>
    <n v="385"/>
  </r>
  <r>
    <x v="2"/>
    <x v="10"/>
    <x v="10"/>
    <s v="Dental"/>
    <n v="464"/>
    <n v="74"/>
    <n v="390"/>
  </r>
  <r>
    <x v="2"/>
    <x v="11"/>
    <x v="11"/>
    <s v="Dental"/>
    <n v="438"/>
    <n v="82"/>
    <n v="356"/>
  </r>
  <r>
    <x v="3"/>
    <x v="0"/>
    <x v="0"/>
    <s v="Dental"/>
    <n v="421"/>
    <n v="79"/>
    <n v="342"/>
  </r>
  <r>
    <x v="3"/>
    <x v="1"/>
    <x v="1"/>
    <s v="Dental"/>
    <n v="432"/>
    <n v="81"/>
    <n v="351"/>
  </r>
  <r>
    <x v="3"/>
    <x v="2"/>
    <x v="2"/>
    <s v="Dental"/>
    <n v="492"/>
    <n v="83"/>
    <n v="409"/>
  </r>
  <r>
    <x v="3"/>
    <x v="3"/>
    <x v="3"/>
    <s v="Dental"/>
    <n v="498"/>
    <n v="64"/>
    <n v="434"/>
  </r>
  <r>
    <x v="3"/>
    <x v="4"/>
    <x v="4"/>
    <s v="Dental"/>
    <n v="360"/>
    <n v="52"/>
    <n v="308"/>
  </r>
  <r>
    <x v="3"/>
    <x v="5"/>
    <x v="5"/>
    <s v="Dental"/>
    <n v="400"/>
    <n v="57"/>
    <n v="343"/>
  </r>
  <r>
    <x v="3"/>
    <x v="6"/>
    <x v="6"/>
    <s v="Dental"/>
    <n v="367"/>
    <n v="46"/>
    <n v="321"/>
  </r>
  <r>
    <x v="3"/>
    <x v="7"/>
    <x v="7"/>
    <s v="Dental"/>
    <n v="512"/>
    <n v="94"/>
    <n v="418"/>
  </r>
  <r>
    <x v="3"/>
    <x v="8"/>
    <x v="8"/>
    <s v="Dental"/>
    <n v="419"/>
    <n v="47"/>
    <n v="372"/>
  </r>
  <r>
    <x v="3"/>
    <x v="9"/>
    <x v="9"/>
    <s v="Dental"/>
    <n v="532"/>
    <n v="85"/>
    <n v="447"/>
  </r>
  <r>
    <x v="3"/>
    <x v="10"/>
    <x v="10"/>
    <s v="Dental"/>
    <n v="366"/>
    <n v="45"/>
    <n v="321"/>
  </r>
  <r>
    <x v="3"/>
    <x v="11"/>
    <x v="11"/>
    <s v="Dental"/>
    <n v="545"/>
    <n v="102"/>
    <n v="443"/>
  </r>
  <r>
    <x v="4"/>
    <x v="0"/>
    <x v="0"/>
    <s v="Dental"/>
    <n v="381"/>
    <n v="57"/>
    <n v="324"/>
  </r>
  <r>
    <x v="4"/>
    <x v="1"/>
    <x v="1"/>
    <s v="Dental"/>
    <n v="416"/>
    <n v="49"/>
    <n v="367"/>
  </r>
  <r>
    <x v="4"/>
    <x v="2"/>
    <x v="2"/>
    <s v="Dental"/>
    <n v="426"/>
    <n v="48"/>
    <n v="378"/>
  </r>
  <r>
    <x v="4"/>
    <x v="3"/>
    <x v="3"/>
    <s v="Dental"/>
    <n v="494"/>
    <n v="59"/>
    <n v="435"/>
  </r>
  <r>
    <x v="4"/>
    <x v="4"/>
    <x v="4"/>
    <s v="Dental"/>
    <n v="220"/>
    <n v="23"/>
    <n v="197"/>
  </r>
  <r>
    <x v="4"/>
    <x v="5"/>
    <x v="5"/>
    <s v="Dental"/>
    <n v="459"/>
    <n v="86"/>
    <n v="373"/>
  </r>
  <r>
    <x v="4"/>
    <x v="6"/>
    <x v="6"/>
    <s v="Dental"/>
    <n v="281"/>
    <n v="43"/>
    <n v="238"/>
  </r>
  <r>
    <x v="4"/>
    <x v="7"/>
    <x v="7"/>
    <s v="Dental"/>
    <n v="455"/>
    <n v="81"/>
    <n v="374"/>
  </r>
  <r>
    <x v="4"/>
    <x v="8"/>
    <x v="8"/>
    <s v="Dental"/>
    <n v="536"/>
    <n v="64"/>
    <n v="472"/>
  </r>
  <r>
    <x v="4"/>
    <x v="9"/>
    <x v="9"/>
    <s v="Dental"/>
    <n v="516"/>
    <n v="68"/>
    <n v="448"/>
  </r>
  <r>
    <x v="4"/>
    <x v="10"/>
    <x v="10"/>
    <s v="Dental"/>
    <n v="395"/>
    <n v="60"/>
    <n v="335"/>
  </r>
  <r>
    <x v="4"/>
    <x v="11"/>
    <x v="11"/>
    <s v="Dental"/>
    <n v="587"/>
    <n v="118"/>
    <n v="469"/>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s v="X-ray"/>
    <n v="447"/>
    <n v="14"/>
    <n v="433"/>
  </r>
  <r>
    <x v="0"/>
    <x v="1"/>
    <x v="1"/>
    <s v="X-ray"/>
    <n v="396"/>
    <n v="20"/>
    <n v="376"/>
  </r>
  <r>
    <x v="0"/>
    <x v="2"/>
    <x v="2"/>
    <s v="X-ray"/>
    <n v="661"/>
    <n v="28"/>
    <n v="633"/>
  </r>
  <r>
    <x v="0"/>
    <x v="3"/>
    <x v="3"/>
    <s v="X-ray"/>
    <n v="684"/>
    <n v="37"/>
    <n v="647"/>
  </r>
  <r>
    <x v="0"/>
    <x v="4"/>
    <x v="4"/>
    <s v="X-ray"/>
    <n v="668"/>
    <n v="25"/>
    <n v="643"/>
  </r>
  <r>
    <x v="0"/>
    <x v="5"/>
    <x v="5"/>
    <s v="X-ray"/>
    <n v="691"/>
    <n v="24"/>
    <n v="667"/>
  </r>
  <r>
    <x v="0"/>
    <x v="6"/>
    <x v="6"/>
    <s v="X-ray"/>
    <n v="634"/>
    <n v="29"/>
    <n v="605"/>
  </r>
  <r>
    <x v="0"/>
    <x v="7"/>
    <x v="7"/>
    <s v="X-ray"/>
    <n v="576"/>
    <n v="32"/>
    <n v="544"/>
  </r>
  <r>
    <x v="0"/>
    <x v="8"/>
    <x v="8"/>
    <s v="X-ray"/>
    <n v="612"/>
    <n v="29"/>
    <n v="583"/>
  </r>
  <r>
    <x v="0"/>
    <x v="9"/>
    <x v="9"/>
    <s v="X-ray"/>
    <n v="515"/>
    <n v="16"/>
    <n v="499"/>
  </r>
  <r>
    <x v="0"/>
    <x v="10"/>
    <x v="10"/>
    <s v="X-ray"/>
    <n v="612"/>
    <n v="27"/>
    <n v="585"/>
  </r>
  <r>
    <x v="0"/>
    <x v="11"/>
    <x v="11"/>
    <s v="X-ray"/>
    <n v="766"/>
    <n v="48"/>
    <n v="718"/>
  </r>
  <r>
    <x v="1"/>
    <x v="0"/>
    <x v="0"/>
    <s v="X-ray"/>
    <n v="574"/>
    <n v="34"/>
    <n v="540"/>
  </r>
  <r>
    <x v="1"/>
    <x v="1"/>
    <x v="1"/>
    <s v="X-ray"/>
    <n v="650"/>
    <n v="32"/>
    <n v="618"/>
  </r>
  <r>
    <x v="1"/>
    <x v="2"/>
    <x v="2"/>
    <s v="X-ray"/>
    <n v="645"/>
    <n v="34"/>
    <n v="611"/>
  </r>
  <r>
    <x v="1"/>
    <x v="3"/>
    <x v="3"/>
    <s v="X-ray"/>
    <n v="750"/>
    <n v="19"/>
    <n v="731"/>
  </r>
  <r>
    <x v="1"/>
    <x v="4"/>
    <x v="4"/>
    <s v="X-ray"/>
    <n v="565"/>
    <n v="24"/>
    <n v="541"/>
  </r>
  <r>
    <x v="1"/>
    <x v="5"/>
    <x v="5"/>
    <s v="X-ray"/>
    <n v="745"/>
    <n v="26"/>
    <n v="719"/>
  </r>
  <r>
    <x v="1"/>
    <x v="6"/>
    <x v="6"/>
    <s v="X-ray"/>
    <n v="516"/>
    <n v="27"/>
    <n v="489"/>
  </r>
  <r>
    <x v="1"/>
    <x v="7"/>
    <x v="7"/>
    <s v="X-ray"/>
    <n v="757"/>
    <n v="31"/>
    <n v="726"/>
  </r>
  <r>
    <x v="1"/>
    <x v="8"/>
    <x v="8"/>
    <s v="X-ray"/>
    <n v="676"/>
    <n v="43"/>
    <n v="633"/>
  </r>
  <r>
    <x v="1"/>
    <x v="9"/>
    <x v="9"/>
    <s v="X-ray"/>
    <n v="611"/>
    <n v="29"/>
    <n v="582"/>
  </r>
  <r>
    <x v="1"/>
    <x v="10"/>
    <x v="10"/>
    <s v="X-ray"/>
    <n v="753"/>
    <n v="46"/>
    <n v="707"/>
  </r>
  <r>
    <x v="1"/>
    <x v="11"/>
    <x v="11"/>
    <s v="X-ray"/>
    <n v="738"/>
    <n v="43"/>
    <n v="695"/>
  </r>
  <r>
    <x v="2"/>
    <x v="0"/>
    <x v="0"/>
    <s v="X-ray"/>
    <n v="638"/>
    <n v="29"/>
    <n v="609"/>
  </r>
  <r>
    <x v="2"/>
    <x v="1"/>
    <x v="1"/>
    <s v="X-ray"/>
    <n v="584"/>
    <n v="29"/>
    <n v="555"/>
  </r>
  <r>
    <x v="2"/>
    <x v="2"/>
    <x v="2"/>
    <s v="X-ray"/>
    <n v="573"/>
    <n v="22"/>
    <n v="551"/>
  </r>
  <r>
    <x v="2"/>
    <x v="3"/>
    <x v="3"/>
    <s v="X-ray"/>
    <n v="703"/>
    <n v="27"/>
    <n v="676"/>
  </r>
  <r>
    <x v="2"/>
    <x v="4"/>
    <x v="4"/>
    <s v="X-ray"/>
    <n v="720"/>
    <n v="37"/>
    <n v="683"/>
  </r>
  <r>
    <x v="2"/>
    <x v="5"/>
    <x v="5"/>
    <s v="X-ray"/>
    <n v="655"/>
    <n v="33"/>
    <n v="622"/>
  </r>
  <r>
    <x v="2"/>
    <x v="6"/>
    <x v="6"/>
    <s v="X-ray"/>
    <n v="691"/>
    <n v="39"/>
    <n v="652"/>
  </r>
  <r>
    <x v="2"/>
    <x v="7"/>
    <x v="7"/>
    <s v="X-ray"/>
    <n v="523"/>
    <n v="36"/>
    <n v="487"/>
  </r>
  <r>
    <x v="2"/>
    <x v="8"/>
    <x v="8"/>
    <s v="X-ray"/>
    <n v="686"/>
    <n v="48"/>
    <n v="638"/>
  </r>
  <r>
    <x v="2"/>
    <x v="9"/>
    <x v="9"/>
    <s v="X-ray"/>
    <n v="682"/>
    <n v="44"/>
    <n v="638"/>
  </r>
  <r>
    <x v="2"/>
    <x v="10"/>
    <x v="10"/>
    <s v="X-ray"/>
    <n v="802"/>
    <n v="52"/>
    <n v="750"/>
  </r>
  <r>
    <x v="2"/>
    <x v="11"/>
    <x v="11"/>
    <s v="X-ray"/>
    <n v="832"/>
    <n v="50"/>
    <n v="782"/>
  </r>
  <r>
    <x v="3"/>
    <x v="0"/>
    <x v="0"/>
    <s v="X-ray"/>
    <n v="757"/>
    <n v="48"/>
    <n v="709"/>
  </r>
  <r>
    <x v="3"/>
    <x v="1"/>
    <x v="1"/>
    <s v="X-ray"/>
    <n v="619"/>
    <n v="46"/>
    <n v="573"/>
  </r>
  <r>
    <x v="3"/>
    <x v="2"/>
    <x v="2"/>
    <s v="X-ray"/>
    <n v="592"/>
    <n v="53"/>
    <n v="539"/>
  </r>
  <r>
    <x v="3"/>
    <x v="3"/>
    <x v="3"/>
    <s v="X-ray"/>
    <n v="688"/>
    <n v="40"/>
    <n v="648"/>
  </r>
  <r>
    <x v="3"/>
    <x v="4"/>
    <x v="4"/>
    <s v="X-ray"/>
    <n v="629"/>
    <n v="36"/>
    <n v="593"/>
  </r>
  <r>
    <x v="3"/>
    <x v="5"/>
    <x v="5"/>
    <s v="X-ray"/>
    <n v="720"/>
    <n v="34"/>
    <n v="686"/>
  </r>
  <r>
    <x v="3"/>
    <x v="6"/>
    <x v="6"/>
    <s v="X-ray"/>
    <n v="566"/>
    <n v="29"/>
    <n v="537"/>
  </r>
  <r>
    <x v="3"/>
    <x v="7"/>
    <x v="7"/>
    <s v="X-ray"/>
    <n v="569"/>
    <n v="20"/>
    <n v="549"/>
  </r>
  <r>
    <x v="3"/>
    <x v="8"/>
    <x v="8"/>
    <s v="X-ray"/>
    <n v="584"/>
    <n v="40"/>
    <n v="544"/>
  </r>
  <r>
    <x v="3"/>
    <x v="9"/>
    <x v="9"/>
    <s v="X-ray"/>
    <n v="556"/>
    <n v="38"/>
    <n v="518"/>
  </r>
  <r>
    <x v="3"/>
    <x v="10"/>
    <x v="10"/>
    <s v="X-ray"/>
    <n v="625"/>
    <n v="45"/>
    <n v="580"/>
  </r>
  <r>
    <x v="3"/>
    <x v="11"/>
    <x v="11"/>
    <s v="X-ray"/>
    <n v="681"/>
    <n v="57"/>
    <n v="624"/>
  </r>
  <r>
    <x v="4"/>
    <x v="0"/>
    <x v="0"/>
    <s v="X-ray"/>
    <n v="559"/>
    <n v="37"/>
    <n v="522"/>
  </r>
  <r>
    <x v="4"/>
    <x v="1"/>
    <x v="1"/>
    <s v="X-ray"/>
    <n v="583"/>
    <n v="51"/>
    <n v="532"/>
  </r>
  <r>
    <x v="4"/>
    <x v="2"/>
    <x v="2"/>
    <s v="X-ray"/>
    <n v="514"/>
    <n v="32"/>
    <n v="482"/>
  </r>
  <r>
    <x v="4"/>
    <x v="3"/>
    <x v="3"/>
    <s v="X-ray"/>
    <n v="712"/>
    <n v="29"/>
    <n v="683"/>
  </r>
  <r>
    <x v="4"/>
    <x v="4"/>
    <x v="4"/>
    <s v="X-ray"/>
    <n v="519"/>
    <n v="19"/>
    <n v="500"/>
  </r>
  <r>
    <x v="4"/>
    <x v="5"/>
    <x v="5"/>
    <s v="X-ray"/>
    <n v="631"/>
    <n v="44"/>
    <n v="587"/>
  </r>
  <r>
    <x v="4"/>
    <x v="6"/>
    <x v="6"/>
    <s v="X-ray"/>
    <n v="446"/>
    <n v="29"/>
    <n v="417"/>
  </r>
  <r>
    <x v="4"/>
    <x v="7"/>
    <x v="7"/>
    <s v="X-ray"/>
    <n v="543"/>
    <n v="31"/>
    <n v="512"/>
  </r>
  <r>
    <x v="4"/>
    <x v="8"/>
    <x v="8"/>
    <s v="X-ray"/>
    <n v="672"/>
    <n v="41"/>
    <n v="631"/>
  </r>
  <r>
    <x v="4"/>
    <x v="9"/>
    <x v="9"/>
    <s v="X-ray"/>
    <n v="563"/>
    <n v="36"/>
    <n v="527"/>
  </r>
  <r>
    <x v="4"/>
    <x v="10"/>
    <x v="10"/>
    <s v="X-ray"/>
    <n v="605"/>
    <n v="46"/>
    <n v="559"/>
  </r>
  <r>
    <x v="4"/>
    <x v="11"/>
    <x v="11"/>
    <s v="X-ray"/>
    <n v="587"/>
    <n v="54"/>
    <n v="533"/>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s v="Sonography"/>
    <n v="791"/>
    <n v="8"/>
    <n v="783"/>
  </r>
  <r>
    <x v="0"/>
    <x v="1"/>
    <x v="1"/>
    <s v="Sonography"/>
    <n v="747"/>
    <n v="16"/>
    <n v="731"/>
  </r>
  <r>
    <x v="0"/>
    <x v="2"/>
    <x v="2"/>
    <s v="Sonography"/>
    <n v="1027"/>
    <n v="21"/>
    <n v="1006"/>
  </r>
  <r>
    <x v="0"/>
    <x v="3"/>
    <x v="3"/>
    <s v="Sonography"/>
    <n v="1077"/>
    <n v="16"/>
    <n v="1061"/>
  </r>
  <r>
    <x v="0"/>
    <x v="4"/>
    <x v="4"/>
    <s v="Sonography"/>
    <n v="982"/>
    <n v="16"/>
    <n v="966"/>
  </r>
  <r>
    <x v="0"/>
    <x v="5"/>
    <x v="5"/>
    <s v="Sonography"/>
    <n v="991"/>
    <n v="16"/>
    <n v="975"/>
  </r>
  <r>
    <x v="0"/>
    <x v="6"/>
    <x v="6"/>
    <s v="Sonography"/>
    <n v="946"/>
    <n v="12"/>
    <n v="934"/>
  </r>
  <r>
    <x v="0"/>
    <x v="7"/>
    <x v="7"/>
    <s v="Sonography"/>
    <n v="756"/>
    <n v="11"/>
    <n v="745"/>
  </r>
  <r>
    <x v="0"/>
    <x v="8"/>
    <x v="8"/>
    <s v="Sonography"/>
    <n v="913"/>
    <n v="19"/>
    <n v="894"/>
  </r>
  <r>
    <x v="0"/>
    <x v="9"/>
    <x v="9"/>
    <s v="Sonography"/>
    <n v="762"/>
    <n v="10"/>
    <n v="752"/>
  </r>
  <r>
    <x v="0"/>
    <x v="10"/>
    <x v="10"/>
    <s v="Sonography"/>
    <n v="809"/>
    <n v="4"/>
    <n v="805"/>
  </r>
  <r>
    <x v="0"/>
    <x v="11"/>
    <x v="11"/>
    <s v="Sonography"/>
    <n v="1100"/>
    <n v="17"/>
    <n v="1083"/>
  </r>
  <r>
    <x v="1"/>
    <x v="0"/>
    <x v="0"/>
    <s v="Sonography"/>
    <n v="976"/>
    <n v="19"/>
    <n v="957"/>
  </r>
  <r>
    <x v="1"/>
    <x v="1"/>
    <x v="1"/>
    <s v="Sonography"/>
    <n v="903"/>
    <n v="19"/>
    <n v="884"/>
  </r>
  <r>
    <x v="1"/>
    <x v="2"/>
    <x v="2"/>
    <s v="Sonography"/>
    <n v="1031"/>
    <n v="14"/>
    <n v="1017"/>
  </r>
  <r>
    <x v="1"/>
    <x v="3"/>
    <x v="3"/>
    <s v="Sonography"/>
    <n v="928"/>
    <n v="16"/>
    <n v="912"/>
  </r>
  <r>
    <x v="1"/>
    <x v="4"/>
    <x v="4"/>
    <s v="Sonography"/>
    <n v="984"/>
    <n v="19"/>
    <n v="965"/>
  </r>
  <r>
    <x v="1"/>
    <x v="5"/>
    <x v="5"/>
    <s v="Sonography"/>
    <n v="998"/>
    <n v="25"/>
    <n v="973"/>
  </r>
  <r>
    <x v="1"/>
    <x v="6"/>
    <x v="6"/>
    <s v="Sonography"/>
    <n v="587"/>
    <n v="19"/>
    <n v="568"/>
  </r>
  <r>
    <x v="1"/>
    <x v="7"/>
    <x v="7"/>
    <s v="Sonography"/>
    <n v="940"/>
    <n v="25"/>
    <n v="915"/>
  </r>
  <r>
    <x v="1"/>
    <x v="8"/>
    <x v="8"/>
    <s v="Sonography"/>
    <n v="904"/>
    <n v="21"/>
    <n v="883"/>
  </r>
  <r>
    <x v="1"/>
    <x v="9"/>
    <x v="9"/>
    <s v="Sonography"/>
    <n v="792"/>
    <n v="17"/>
    <n v="775"/>
  </r>
  <r>
    <x v="1"/>
    <x v="10"/>
    <x v="10"/>
    <s v="Sonography"/>
    <n v="846"/>
    <n v="16"/>
    <n v="830"/>
  </r>
  <r>
    <x v="1"/>
    <x v="11"/>
    <x v="11"/>
    <s v="Sonography"/>
    <n v="912"/>
    <n v="17"/>
    <n v="895"/>
  </r>
  <r>
    <x v="2"/>
    <x v="0"/>
    <x v="0"/>
    <s v="Sonography"/>
    <n v="917"/>
    <n v="22"/>
    <n v="895"/>
  </r>
  <r>
    <x v="2"/>
    <x v="1"/>
    <x v="1"/>
    <s v="Sonography"/>
    <n v="954"/>
    <n v="23"/>
    <n v="931"/>
  </r>
  <r>
    <x v="2"/>
    <x v="2"/>
    <x v="2"/>
    <s v="Sonography"/>
    <n v="971"/>
    <n v="23"/>
    <n v="948"/>
  </r>
  <r>
    <x v="2"/>
    <x v="3"/>
    <x v="3"/>
    <s v="Sonography"/>
    <n v="1044"/>
    <n v="15"/>
    <n v="1029"/>
  </r>
  <r>
    <x v="2"/>
    <x v="4"/>
    <x v="4"/>
    <s v="Sonography"/>
    <n v="1059"/>
    <n v="23"/>
    <n v="1036"/>
  </r>
  <r>
    <x v="2"/>
    <x v="5"/>
    <x v="5"/>
    <s v="Sonography"/>
    <n v="981"/>
    <n v="16"/>
    <n v="965"/>
  </r>
  <r>
    <x v="2"/>
    <x v="6"/>
    <x v="6"/>
    <s v="Sonography"/>
    <n v="897"/>
    <n v="21"/>
    <n v="876"/>
  </r>
  <r>
    <x v="2"/>
    <x v="7"/>
    <x v="7"/>
    <s v="Sonography"/>
    <n v="619"/>
    <n v="16"/>
    <n v="603"/>
  </r>
  <r>
    <x v="2"/>
    <x v="8"/>
    <x v="8"/>
    <s v="Sonography"/>
    <n v="915"/>
    <n v="16"/>
    <n v="899"/>
  </r>
  <r>
    <x v="2"/>
    <x v="9"/>
    <x v="9"/>
    <s v="Sonography"/>
    <n v="802"/>
    <n v="11"/>
    <n v="791"/>
  </r>
  <r>
    <x v="2"/>
    <x v="10"/>
    <x v="10"/>
    <s v="Sonography"/>
    <n v="922"/>
    <n v="20"/>
    <n v="902"/>
  </r>
  <r>
    <x v="2"/>
    <x v="11"/>
    <x v="11"/>
    <s v="Sonography"/>
    <n v="865"/>
    <n v="13"/>
    <n v="852"/>
  </r>
  <r>
    <x v="3"/>
    <x v="0"/>
    <x v="0"/>
    <s v="Sonography"/>
    <n v="926"/>
    <n v="14"/>
    <n v="912"/>
  </r>
  <r>
    <x v="3"/>
    <x v="1"/>
    <x v="1"/>
    <s v="Sonography"/>
    <n v="938"/>
    <n v="16"/>
    <n v="922"/>
  </r>
  <r>
    <x v="3"/>
    <x v="2"/>
    <x v="2"/>
    <s v="Sonography"/>
    <n v="987"/>
    <n v="15"/>
    <n v="972"/>
  </r>
  <r>
    <x v="3"/>
    <x v="3"/>
    <x v="3"/>
    <s v="Sonography"/>
    <n v="1107"/>
    <n v="16"/>
    <n v="1091"/>
  </r>
  <r>
    <x v="3"/>
    <x v="4"/>
    <x v="4"/>
    <s v="Sonography"/>
    <n v="846"/>
    <n v="14"/>
    <n v="832"/>
  </r>
  <r>
    <x v="3"/>
    <x v="5"/>
    <x v="5"/>
    <s v="Sonography"/>
    <n v="994"/>
    <n v="18"/>
    <n v="976"/>
  </r>
  <r>
    <x v="3"/>
    <x v="6"/>
    <x v="6"/>
    <s v="Sonography"/>
    <n v="762"/>
    <n v="13"/>
    <n v="749"/>
  </r>
  <r>
    <x v="3"/>
    <x v="7"/>
    <x v="7"/>
    <s v="Sonography"/>
    <n v="750"/>
    <n v="15"/>
    <n v="735"/>
  </r>
  <r>
    <x v="3"/>
    <x v="8"/>
    <x v="8"/>
    <s v="Sonography"/>
    <n v="803"/>
    <n v="10"/>
    <n v="793"/>
  </r>
  <r>
    <x v="3"/>
    <x v="9"/>
    <x v="9"/>
    <s v="Sonography"/>
    <n v="851"/>
    <n v="9"/>
    <n v="842"/>
  </r>
  <r>
    <x v="3"/>
    <x v="10"/>
    <x v="10"/>
    <s v="Sonography"/>
    <n v="747"/>
    <n v="11"/>
    <n v="736"/>
  </r>
  <r>
    <x v="3"/>
    <x v="11"/>
    <x v="11"/>
    <s v="Sonography"/>
    <n v="811"/>
    <n v="17"/>
    <n v="794"/>
  </r>
  <r>
    <x v="4"/>
    <x v="0"/>
    <x v="0"/>
    <s v="Sonography"/>
    <n v="934"/>
    <n v="15"/>
    <n v="919"/>
  </r>
  <r>
    <x v="4"/>
    <x v="1"/>
    <x v="1"/>
    <s v="Sonography"/>
    <n v="899"/>
    <n v="22"/>
    <n v="877"/>
  </r>
  <r>
    <x v="4"/>
    <x v="2"/>
    <x v="2"/>
    <s v="Sonography"/>
    <n v="967"/>
    <n v="11"/>
    <n v="956"/>
  </r>
  <r>
    <x v="4"/>
    <x v="3"/>
    <x v="3"/>
    <s v="Sonography"/>
    <n v="1052"/>
    <n v="22"/>
    <n v="1030"/>
  </r>
  <r>
    <x v="4"/>
    <x v="4"/>
    <x v="4"/>
    <s v="Sonography"/>
    <n v="862"/>
    <n v="15"/>
    <n v="847"/>
  </r>
  <r>
    <x v="4"/>
    <x v="5"/>
    <x v="5"/>
    <s v="Sonography"/>
    <n v="893"/>
    <n v="21"/>
    <n v="872"/>
  </r>
  <r>
    <x v="4"/>
    <x v="6"/>
    <x v="6"/>
    <s v="Sonography"/>
    <n v="591"/>
    <n v="12"/>
    <n v="579"/>
  </r>
  <r>
    <x v="4"/>
    <x v="7"/>
    <x v="7"/>
    <s v="Sonography"/>
    <n v="835"/>
    <n v="19"/>
    <n v="816"/>
  </r>
  <r>
    <x v="4"/>
    <x v="8"/>
    <x v="8"/>
    <s v="Sonography"/>
    <n v="891"/>
    <n v="23"/>
    <n v="868"/>
  </r>
  <r>
    <x v="4"/>
    <x v="9"/>
    <x v="9"/>
    <s v="Sonography"/>
    <n v="736"/>
    <n v="16"/>
    <n v="720"/>
  </r>
  <r>
    <x v="4"/>
    <x v="10"/>
    <x v="10"/>
    <s v="Sonography"/>
    <n v="793"/>
    <n v="13"/>
    <n v="780"/>
  </r>
  <r>
    <x v="4"/>
    <x v="11"/>
    <x v="11"/>
    <s v="Sonography"/>
    <n v="767"/>
    <n v="14"/>
    <n v="753"/>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412"/>
  </r>
  <r>
    <x v="0"/>
    <x v="1"/>
    <n v="3304"/>
  </r>
  <r>
    <x v="1"/>
    <x v="0"/>
    <n v="573"/>
  </r>
  <r>
    <x v="1"/>
    <x v="1"/>
    <n v="3733"/>
  </r>
  <r>
    <x v="2"/>
    <x v="0"/>
    <n v="592"/>
  </r>
  <r>
    <x v="2"/>
    <x v="1"/>
    <n v="3815"/>
  </r>
  <r>
    <x v="3"/>
    <x v="0"/>
    <n v="563"/>
  </r>
  <r>
    <x v="3"/>
    <x v="1"/>
    <n v="3580"/>
  </r>
  <r>
    <x v="4"/>
    <x v="0"/>
    <n v="556"/>
  </r>
  <r>
    <x v="4"/>
    <x v="1"/>
    <n v="3032"/>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s v="Mamo"/>
    <n v="0"/>
    <n v="0"/>
    <n v="0"/>
  </r>
  <r>
    <x v="0"/>
    <x v="1"/>
    <x v="1"/>
    <s v="Mamo"/>
    <n v="0"/>
    <n v="0"/>
    <n v="0"/>
  </r>
  <r>
    <x v="0"/>
    <x v="2"/>
    <x v="2"/>
    <s v="Mamo"/>
    <n v="0"/>
    <n v="0"/>
    <n v="0"/>
  </r>
  <r>
    <x v="0"/>
    <x v="3"/>
    <x v="3"/>
    <s v="Mamo"/>
    <n v="0"/>
    <n v="0"/>
    <n v="0"/>
  </r>
  <r>
    <x v="0"/>
    <x v="4"/>
    <x v="4"/>
    <s v="Mamo"/>
    <n v="0"/>
    <n v="0"/>
    <n v="0"/>
  </r>
  <r>
    <x v="0"/>
    <x v="5"/>
    <x v="5"/>
    <s v="Mamo"/>
    <n v="0"/>
    <n v="0"/>
    <n v="0"/>
  </r>
  <r>
    <x v="0"/>
    <x v="6"/>
    <x v="6"/>
    <s v="Mamo"/>
    <n v="0"/>
    <n v="0"/>
    <n v="0"/>
  </r>
  <r>
    <x v="0"/>
    <x v="7"/>
    <x v="7"/>
    <s v="Mamo"/>
    <n v="0"/>
    <n v="0"/>
    <n v="0"/>
  </r>
  <r>
    <x v="0"/>
    <x v="8"/>
    <x v="8"/>
    <s v="Mamo"/>
    <n v="0"/>
    <n v="0"/>
    <n v="0"/>
  </r>
  <r>
    <x v="0"/>
    <x v="9"/>
    <x v="9"/>
    <s v="Mamo"/>
    <n v="0"/>
    <n v="0"/>
    <n v="0"/>
  </r>
  <r>
    <x v="0"/>
    <x v="10"/>
    <x v="10"/>
    <s v="Mamo"/>
    <n v="0"/>
    <n v="0"/>
    <n v="0"/>
  </r>
  <r>
    <x v="0"/>
    <x v="11"/>
    <x v="11"/>
    <s v="Mamo"/>
    <n v="0"/>
    <n v="0"/>
    <n v="0"/>
  </r>
  <r>
    <x v="1"/>
    <x v="0"/>
    <x v="0"/>
    <s v="Mamo"/>
    <n v="0"/>
    <n v="0"/>
    <n v="0"/>
  </r>
  <r>
    <x v="1"/>
    <x v="1"/>
    <x v="1"/>
    <s v="Mamo"/>
    <n v="0"/>
    <n v="0"/>
    <n v="0"/>
  </r>
  <r>
    <x v="1"/>
    <x v="2"/>
    <x v="2"/>
    <s v="Mamo"/>
    <n v="4"/>
    <n v="1"/>
    <n v="3"/>
  </r>
  <r>
    <x v="1"/>
    <x v="3"/>
    <x v="3"/>
    <s v="Mamo"/>
    <n v="21"/>
    <n v="4"/>
    <n v="17"/>
  </r>
  <r>
    <x v="1"/>
    <x v="4"/>
    <x v="4"/>
    <s v="Mamo"/>
    <n v="22"/>
    <n v="5"/>
    <n v="17"/>
  </r>
  <r>
    <x v="1"/>
    <x v="5"/>
    <x v="5"/>
    <s v="Mamo"/>
    <n v="66"/>
    <n v="48"/>
    <n v="18"/>
  </r>
  <r>
    <x v="1"/>
    <x v="6"/>
    <x v="6"/>
    <s v="Mamo"/>
    <n v="84"/>
    <n v="70"/>
    <n v="14"/>
  </r>
  <r>
    <x v="1"/>
    <x v="7"/>
    <x v="7"/>
    <s v="Mamo"/>
    <n v="16"/>
    <n v="0"/>
    <n v="16"/>
  </r>
  <r>
    <x v="1"/>
    <x v="8"/>
    <x v="8"/>
    <s v="Mamo"/>
    <n v="13"/>
    <n v="2"/>
    <n v="11"/>
  </r>
  <r>
    <x v="1"/>
    <x v="9"/>
    <x v="9"/>
    <s v="Mamo"/>
    <n v="14"/>
    <n v="5"/>
    <n v="9"/>
  </r>
  <r>
    <x v="1"/>
    <x v="10"/>
    <x v="10"/>
    <s v="Mamo"/>
    <n v="21"/>
    <n v="7"/>
    <n v="14"/>
  </r>
  <r>
    <x v="1"/>
    <x v="11"/>
    <x v="11"/>
    <s v="Mamo"/>
    <n v="26"/>
    <n v="7"/>
    <n v="19"/>
  </r>
  <r>
    <x v="2"/>
    <x v="0"/>
    <x v="0"/>
    <s v="Mamo"/>
    <n v="25"/>
    <n v="5"/>
    <n v="20"/>
  </r>
  <r>
    <x v="2"/>
    <x v="1"/>
    <x v="1"/>
    <s v="Mamo"/>
    <n v="28"/>
    <n v="4"/>
    <n v="24"/>
  </r>
  <r>
    <x v="2"/>
    <x v="2"/>
    <x v="2"/>
    <s v="Mamo"/>
    <n v="38"/>
    <n v="3"/>
    <n v="35"/>
  </r>
  <r>
    <x v="2"/>
    <x v="3"/>
    <x v="3"/>
    <s v="Mamo"/>
    <n v="29"/>
    <n v="2"/>
    <n v="27"/>
  </r>
  <r>
    <x v="2"/>
    <x v="4"/>
    <x v="4"/>
    <s v="Mamo"/>
    <n v="15"/>
    <n v="0"/>
    <n v="15"/>
  </r>
  <r>
    <x v="2"/>
    <x v="5"/>
    <x v="5"/>
    <s v="Mamo"/>
    <n v="32"/>
    <n v="4"/>
    <n v="28"/>
  </r>
  <r>
    <x v="2"/>
    <x v="6"/>
    <x v="6"/>
    <s v="Mamo"/>
    <n v="73"/>
    <n v="52"/>
    <n v="21"/>
  </r>
  <r>
    <x v="2"/>
    <x v="7"/>
    <x v="7"/>
    <s v="Mamo"/>
    <n v="24"/>
    <n v="10"/>
    <n v="14"/>
  </r>
  <r>
    <x v="2"/>
    <x v="8"/>
    <x v="8"/>
    <s v="Mamo"/>
    <n v="26"/>
    <n v="3"/>
    <n v="23"/>
  </r>
  <r>
    <x v="2"/>
    <x v="9"/>
    <x v="9"/>
    <s v="Mamo"/>
    <n v="18"/>
    <n v="2"/>
    <n v="16"/>
  </r>
  <r>
    <x v="2"/>
    <x v="10"/>
    <x v="10"/>
    <s v="Mamo"/>
    <n v="39"/>
    <n v="8"/>
    <n v="31"/>
  </r>
  <r>
    <x v="2"/>
    <x v="11"/>
    <x v="11"/>
    <s v="Mamo"/>
    <n v="43"/>
    <n v="9"/>
    <n v="34"/>
  </r>
  <r>
    <x v="3"/>
    <x v="0"/>
    <x v="0"/>
    <s v="Mamo"/>
    <n v="29"/>
    <n v="1"/>
    <n v="28"/>
  </r>
  <r>
    <x v="3"/>
    <x v="1"/>
    <x v="1"/>
    <s v="Mamo"/>
    <n v="31"/>
    <n v="1"/>
    <n v="30"/>
  </r>
  <r>
    <x v="3"/>
    <x v="2"/>
    <x v="2"/>
    <s v="Mamo"/>
    <n v="25"/>
    <n v="2"/>
    <n v="23"/>
  </r>
  <r>
    <x v="3"/>
    <x v="3"/>
    <x v="3"/>
    <s v="Mamo"/>
    <n v="41"/>
    <n v="4"/>
    <n v="37"/>
  </r>
  <r>
    <x v="3"/>
    <x v="4"/>
    <x v="4"/>
    <s v="Mamo"/>
    <n v="36"/>
    <n v="1"/>
    <n v="35"/>
  </r>
  <r>
    <x v="3"/>
    <x v="5"/>
    <x v="5"/>
    <s v="Mamo"/>
    <n v="75"/>
    <n v="5"/>
    <n v="70"/>
  </r>
  <r>
    <x v="3"/>
    <x v="6"/>
    <x v="6"/>
    <s v="Mamo"/>
    <n v="59"/>
    <n v="3"/>
    <n v="56"/>
  </r>
  <r>
    <x v="3"/>
    <x v="7"/>
    <x v="7"/>
    <s v="Mamo"/>
    <n v="39"/>
    <n v="4"/>
    <n v="35"/>
  </r>
  <r>
    <x v="3"/>
    <x v="8"/>
    <x v="8"/>
    <s v="Mamo"/>
    <n v="33"/>
    <n v="7"/>
    <n v="26"/>
  </r>
  <r>
    <x v="3"/>
    <x v="9"/>
    <x v="9"/>
    <s v="Mamo"/>
    <n v="21"/>
    <n v="3"/>
    <n v="18"/>
  </r>
  <r>
    <x v="3"/>
    <x v="10"/>
    <x v="10"/>
    <s v="Mamo"/>
    <n v="38"/>
    <n v="7"/>
    <n v="31"/>
  </r>
  <r>
    <x v="3"/>
    <x v="11"/>
    <x v="11"/>
    <s v="Mamo"/>
    <n v="35"/>
    <n v="4"/>
    <n v="31"/>
  </r>
  <r>
    <x v="4"/>
    <x v="0"/>
    <x v="0"/>
    <s v="Mamo"/>
    <n v="48"/>
    <n v="5"/>
    <n v="43"/>
  </r>
  <r>
    <x v="4"/>
    <x v="1"/>
    <x v="1"/>
    <s v="Mamo"/>
    <n v="39"/>
    <n v="3"/>
    <n v="36"/>
  </r>
  <r>
    <x v="4"/>
    <x v="2"/>
    <x v="2"/>
    <s v="Mamo"/>
    <n v="39"/>
    <n v="9"/>
    <n v="30"/>
  </r>
  <r>
    <x v="4"/>
    <x v="3"/>
    <x v="3"/>
    <s v="Mamo"/>
    <n v="25"/>
    <n v="0"/>
    <n v="25"/>
  </r>
  <r>
    <x v="4"/>
    <x v="4"/>
    <x v="4"/>
    <s v="Mamo"/>
    <n v="18"/>
    <n v="1"/>
    <n v="17"/>
  </r>
  <r>
    <x v="4"/>
    <x v="5"/>
    <x v="5"/>
    <s v="Mamo"/>
    <n v="69"/>
    <n v="2"/>
    <n v="67"/>
  </r>
  <r>
    <x v="4"/>
    <x v="6"/>
    <x v="6"/>
    <s v="Mamo"/>
    <n v="19"/>
    <n v="1"/>
    <n v="18"/>
  </r>
  <r>
    <x v="4"/>
    <x v="7"/>
    <x v="7"/>
    <s v="Mamo"/>
    <n v="22"/>
    <n v="5"/>
    <n v="17"/>
  </r>
  <r>
    <x v="4"/>
    <x v="8"/>
    <x v="8"/>
    <s v="Mamo"/>
    <n v="37"/>
    <n v="3"/>
    <n v="34"/>
  </r>
  <r>
    <x v="4"/>
    <x v="9"/>
    <x v="9"/>
    <s v="Mamo"/>
    <n v="20"/>
    <n v="1"/>
    <n v="19"/>
  </r>
  <r>
    <x v="4"/>
    <x v="10"/>
    <x v="10"/>
    <s v="Mamo"/>
    <n v="27"/>
    <n v="4"/>
    <n v="23"/>
  </r>
  <r>
    <x v="4"/>
    <x v="11"/>
    <x v="11"/>
    <s v="Mamo"/>
    <n v="36"/>
    <n v="6"/>
    <n v="30"/>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s v="Body Checkup"/>
    <n v="105"/>
    <n v="10"/>
    <n v="95"/>
  </r>
  <r>
    <x v="0"/>
    <x v="1"/>
    <x v="1"/>
    <s v="Body Checkup"/>
    <n v="133"/>
    <n v="20"/>
    <n v="113"/>
  </r>
  <r>
    <x v="0"/>
    <x v="2"/>
    <x v="2"/>
    <s v="Body Checkup"/>
    <n v="317"/>
    <n v="33"/>
    <n v="284"/>
  </r>
  <r>
    <x v="0"/>
    <x v="3"/>
    <x v="3"/>
    <s v="Body Checkup"/>
    <n v="358"/>
    <n v="35"/>
    <n v="323"/>
  </r>
  <r>
    <x v="0"/>
    <x v="4"/>
    <x v="4"/>
    <s v="Body Checkup"/>
    <n v="321"/>
    <n v="35"/>
    <n v="286"/>
  </r>
  <r>
    <x v="0"/>
    <x v="5"/>
    <x v="5"/>
    <s v="Body Checkup"/>
    <n v="374"/>
    <n v="28"/>
    <n v="346"/>
  </r>
  <r>
    <x v="0"/>
    <x v="6"/>
    <x v="6"/>
    <s v="Body Checkup"/>
    <n v="364"/>
    <n v="20"/>
    <n v="344"/>
  </r>
  <r>
    <x v="0"/>
    <x v="7"/>
    <x v="7"/>
    <s v="Body Checkup"/>
    <n v="229"/>
    <n v="26"/>
    <n v="203"/>
  </r>
  <r>
    <x v="0"/>
    <x v="8"/>
    <x v="8"/>
    <s v="Body Checkup"/>
    <n v="319"/>
    <n v="37"/>
    <n v="282"/>
  </r>
  <r>
    <x v="0"/>
    <x v="9"/>
    <x v="9"/>
    <s v="Body Checkup"/>
    <n v="232"/>
    <n v="31"/>
    <n v="201"/>
  </r>
  <r>
    <x v="0"/>
    <x v="10"/>
    <x v="10"/>
    <s v="Body Checkup"/>
    <n v="402"/>
    <n v="39"/>
    <n v="363"/>
  </r>
  <r>
    <x v="0"/>
    <x v="11"/>
    <x v="11"/>
    <s v="Body Checkup"/>
    <n v="562"/>
    <n v="98"/>
    <n v="464"/>
  </r>
  <r>
    <x v="1"/>
    <x v="0"/>
    <x v="0"/>
    <s v="Body Checkup"/>
    <n v="376"/>
    <n v="46"/>
    <n v="330"/>
  </r>
  <r>
    <x v="1"/>
    <x v="1"/>
    <x v="1"/>
    <s v="Body Checkup"/>
    <n v="352"/>
    <n v="42"/>
    <n v="310"/>
  </r>
  <r>
    <x v="1"/>
    <x v="2"/>
    <x v="2"/>
    <s v="Body Checkup"/>
    <n v="389"/>
    <n v="41"/>
    <n v="348"/>
  </r>
  <r>
    <x v="1"/>
    <x v="3"/>
    <x v="3"/>
    <s v="Body Checkup"/>
    <n v="297"/>
    <n v="34"/>
    <n v="263"/>
  </r>
  <r>
    <x v="1"/>
    <x v="4"/>
    <x v="4"/>
    <s v="Body Checkup"/>
    <n v="356"/>
    <n v="93"/>
    <n v="263"/>
  </r>
  <r>
    <x v="1"/>
    <x v="5"/>
    <x v="5"/>
    <s v="Body Checkup"/>
    <n v="368"/>
    <n v="25"/>
    <n v="343"/>
  </r>
  <r>
    <x v="1"/>
    <x v="6"/>
    <x v="6"/>
    <s v="Body Checkup"/>
    <n v="228"/>
    <n v="30"/>
    <n v="198"/>
  </r>
  <r>
    <x v="1"/>
    <x v="7"/>
    <x v="7"/>
    <s v="Body Checkup"/>
    <n v="346"/>
    <n v="26"/>
    <n v="320"/>
  </r>
  <r>
    <x v="1"/>
    <x v="8"/>
    <x v="8"/>
    <s v="Body Checkup"/>
    <n v="388"/>
    <n v="39"/>
    <n v="349"/>
  </r>
  <r>
    <x v="1"/>
    <x v="9"/>
    <x v="9"/>
    <s v="Body Checkup"/>
    <n v="255"/>
    <n v="19"/>
    <n v="236"/>
  </r>
  <r>
    <x v="1"/>
    <x v="10"/>
    <x v="10"/>
    <s v="Body Checkup"/>
    <n v="404"/>
    <n v="70"/>
    <n v="334"/>
  </r>
  <r>
    <x v="1"/>
    <x v="11"/>
    <x v="11"/>
    <s v="Body Checkup"/>
    <n v="547"/>
    <n v="108"/>
    <n v="439"/>
  </r>
  <r>
    <x v="2"/>
    <x v="0"/>
    <x v="0"/>
    <s v="Body Checkup"/>
    <n v="369"/>
    <n v="36"/>
    <n v="333"/>
  </r>
  <r>
    <x v="2"/>
    <x v="1"/>
    <x v="1"/>
    <s v="Body Checkup"/>
    <n v="398"/>
    <n v="56"/>
    <n v="342"/>
  </r>
  <r>
    <x v="2"/>
    <x v="2"/>
    <x v="2"/>
    <s v="Body Checkup"/>
    <n v="349"/>
    <n v="30"/>
    <n v="319"/>
  </r>
  <r>
    <x v="2"/>
    <x v="3"/>
    <x v="3"/>
    <s v="Body Checkup"/>
    <n v="342"/>
    <n v="36"/>
    <n v="306"/>
  </r>
  <r>
    <x v="2"/>
    <x v="4"/>
    <x v="4"/>
    <s v="Body Checkup"/>
    <n v="306"/>
    <n v="33"/>
    <n v="273"/>
  </r>
  <r>
    <x v="2"/>
    <x v="5"/>
    <x v="5"/>
    <s v="Body Checkup"/>
    <n v="332"/>
    <n v="28"/>
    <n v="304"/>
  </r>
  <r>
    <x v="2"/>
    <x v="6"/>
    <x v="6"/>
    <s v="Body Checkup"/>
    <n v="328"/>
    <n v="35"/>
    <n v="293"/>
  </r>
  <r>
    <x v="2"/>
    <x v="7"/>
    <x v="7"/>
    <s v="Body Checkup"/>
    <n v="226"/>
    <n v="35"/>
    <n v="191"/>
  </r>
  <r>
    <x v="2"/>
    <x v="8"/>
    <x v="8"/>
    <s v="Body Checkup"/>
    <n v="377"/>
    <n v="44"/>
    <n v="333"/>
  </r>
  <r>
    <x v="2"/>
    <x v="9"/>
    <x v="9"/>
    <s v="Body Checkup"/>
    <n v="356"/>
    <n v="45"/>
    <n v="311"/>
  </r>
  <r>
    <x v="2"/>
    <x v="10"/>
    <x v="10"/>
    <s v="Body Checkup"/>
    <n v="430"/>
    <n v="63"/>
    <n v="367"/>
  </r>
  <r>
    <x v="2"/>
    <x v="11"/>
    <x v="11"/>
    <s v="Body Checkup"/>
    <n v="594"/>
    <n v="151"/>
    <n v="443"/>
  </r>
  <r>
    <x v="3"/>
    <x v="0"/>
    <x v="0"/>
    <s v="Body Checkup"/>
    <n v="373"/>
    <n v="26"/>
    <n v="347"/>
  </r>
  <r>
    <x v="3"/>
    <x v="1"/>
    <x v="1"/>
    <s v="Body Checkup"/>
    <n v="383"/>
    <n v="46"/>
    <n v="337"/>
  </r>
  <r>
    <x v="3"/>
    <x v="2"/>
    <x v="2"/>
    <s v="Body Checkup"/>
    <n v="357"/>
    <n v="38"/>
    <n v="319"/>
  </r>
  <r>
    <x v="3"/>
    <x v="3"/>
    <x v="3"/>
    <s v="Body Checkup"/>
    <n v="429"/>
    <n v="33"/>
    <n v="396"/>
  </r>
  <r>
    <x v="3"/>
    <x v="4"/>
    <x v="4"/>
    <s v="Body Checkup"/>
    <n v="250"/>
    <n v="21"/>
    <n v="229"/>
  </r>
  <r>
    <x v="3"/>
    <x v="5"/>
    <x v="5"/>
    <s v="Body Checkup"/>
    <n v="333"/>
    <n v="29"/>
    <n v="304"/>
  </r>
  <r>
    <x v="3"/>
    <x v="6"/>
    <x v="6"/>
    <s v="Body Checkup"/>
    <n v="276"/>
    <n v="35"/>
    <n v="241"/>
  </r>
  <r>
    <x v="3"/>
    <x v="7"/>
    <x v="7"/>
    <s v="Body Checkup"/>
    <n v="287"/>
    <n v="26"/>
    <n v="261"/>
  </r>
  <r>
    <x v="3"/>
    <x v="8"/>
    <x v="8"/>
    <s v="Body Checkup"/>
    <n v="279"/>
    <n v="35"/>
    <n v="244"/>
  </r>
  <r>
    <x v="3"/>
    <x v="9"/>
    <x v="9"/>
    <s v="Body Checkup"/>
    <n v="291"/>
    <n v="45"/>
    <n v="246"/>
  </r>
  <r>
    <x v="3"/>
    <x v="10"/>
    <x v="10"/>
    <s v="Body Checkup"/>
    <n v="350"/>
    <n v="60"/>
    <n v="290"/>
  </r>
  <r>
    <x v="3"/>
    <x v="11"/>
    <x v="11"/>
    <s v="Body Checkup"/>
    <n v="535"/>
    <n v="169"/>
    <n v="366"/>
  </r>
  <r>
    <x v="4"/>
    <x v="0"/>
    <x v="0"/>
    <s v="Body Checkup"/>
    <n v="361"/>
    <n v="30"/>
    <n v="331"/>
  </r>
  <r>
    <x v="4"/>
    <x v="1"/>
    <x v="1"/>
    <s v="Body Checkup"/>
    <n v="354"/>
    <n v="36"/>
    <n v="318"/>
  </r>
  <r>
    <x v="4"/>
    <x v="2"/>
    <x v="2"/>
    <s v="Body Checkup"/>
    <n v="296"/>
    <n v="35"/>
    <n v="261"/>
  </r>
  <r>
    <x v="4"/>
    <x v="3"/>
    <x v="3"/>
    <s v="Body Checkup"/>
    <n v="336"/>
    <n v="32"/>
    <n v="304"/>
  </r>
  <r>
    <x v="4"/>
    <x v="4"/>
    <x v="4"/>
    <s v="Body Checkup"/>
    <n v="220"/>
    <n v="14"/>
    <n v="206"/>
  </r>
  <r>
    <x v="4"/>
    <x v="5"/>
    <x v="5"/>
    <s v="Body Checkup"/>
    <n v="266"/>
    <n v="32"/>
    <n v="234"/>
  </r>
  <r>
    <x v="4"/>
    <x v="6"/>
    <x v="6"/>
    <s v="Body Checkup"/>
    <n v="183"/>
    <n v="19"/>
    <n v="164"/>
  </r>
  <r>
    <x v="4"/>
    <x v="7"/>
    <x v="7"/>
    <s v="Body Checkup"/>
    <n v="212"/>
    <n v="33"/>
    <n v="179"/>
  </r>
  <r>
    <x v="4"/>
    <x v="8"/>
    <x v="8"/>
    <s v="Body Checkup"/>
    <n v="306"/>
    <n v="57"/>
    <n v="249"/>
  </r>
  <r>
    <x v="4"/>
    <x v="9"/>
    <x v="9"/>
    <s v="Body Checkup"/>
    <n v="242"/>
    <n v="52"/>
    <n v="190"/>
  </r>
  <r>
    <x v="4"/>
    <x v="10"/>
    <x v="10"/>
    <s v="Body Checkup"/>
    <n v="393"/>
    <n v="100"/>
    <n v="293"/>
  </r>
  <r>
    <x v="4"/>
    <x v="11"/>
    <x v="11"/>
    <s v="Body Checkup"/>
    <n v="419"/>
    <n v="116"/>
    <n v="303"/>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329"/>
  </r>
  <r>
    <x v="0"/>
    <x v="1"/>
    <n v="6933"/>
  </r>
  <r>
    <x v="1"/>
    <x v="0"/>
    <n v="388"/>
  </r>
  <r>
    <x v="1"/>
    <x v="1"/>
    <n v="7592"/>
  </r>
  <r>
    <x v="2"/>
    <x v="0"/>
    <n v="446"/>
  </r>
  <r>
    <x v="2"/>
    <x v="1"/>
    <n v="7643"/>
  </r>
  <r>
    <x v="3"/>
    <x v="0"/>
    <n v="486"/>
  </r>
  <r>
    <x v="3"/>
    <x v="1"/>
    <n v="7100"/>
  </r>
  <r>
    <x v="4"/>
    <x v="0"/>
    <n v="449"/>
  </r>
  <r>
    <x v="4"/>
    <x v="1"/>
    <n v="6485"/>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0"/>
  </r>
  <r>
    <x v="0"/>
    <x v="1"/>
    <n v="0"/>
  </r>
  <r>
    <x v="1"/>
    <x v="0"/>
    <n v="149"/>
  </r>
  <r>
    <x v="1"/>
    <x v="1"/>
    <n v="138"/>
  </r>
  <r>
    <x v="2"/>
    <x v="0"/>
    <n v="102"/>
  </r>
  <r>
    <x v="2"/>
    <x v="1"/>
    <n v="288"/>
  </r>
  <r>
    <x v="3"/>
    <x v="0"/>
    <n v="42"/>
  </r>
  <r>
    <x v="3"/>
    <x v="1"/>
    <n v="420"/>
  </r>
  <r>
    <x v="4"/>
    <x v="0"/>
    <n v="40"/>
  </r>
  <r>
    <x v="4"/>
    <x v="1"/>
    <n v="359"/>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601"/>
  </r>
  <r>
    <x v="0"/>
    <x v="1"/>
    <n v="4106"/>
  </r>
  <r>
    <x v="1"/>
    <x v="0"/>
    <n v="729"/>
  </r>
  <r>
    <x v="1"/>
    <x v="1"/>
    <n v="4021"/>
  </r>
  <r>
    <x v="2"/>
    <x v="0"/>
    <n v="824"/>
  </r>
  <r>
    <x v="2"/>
    <x v="1"/>
    <n v="4536"/>
  </r>
  <r>
    <x v="3"/>
    <x v="0"/>
    <n v="835"/>
  </r>
  <r>
    <x v="3"/>
    <x v="1"/>
    <n v="4509"/>
  </r>
  <r>
    <x v="4"/>
    <x v="0"/>
    <n v="756"/>
  </r>
  <r>
    <x v="4"/>
    <x v="1"/>
    <n v="44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1AEA1A-22A9-4B32-93F0-34341A2AFEB5}"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B8" firstHeaderRow="1" firstDataRow="1" firstDataCol="1"/>
  <pivotFields count="5">
    <pivotField axis="axisRow"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items count="10">
        <item x="4"/>
        <item x="0"/>
        <item x="3"/>
        <item x="7"/>
        <item x="6"/>
        <item x="8"/>
        <item x="1"/>
        <item x="5"/>
        <item x="2"/>
        <item t="default"/>
      </items>
    </pivotField>
    <pivotField dataField="1" showAll="0"/>
  </pivotFields>
  <rowFields count="1">
    <field x="0"/>
  </rowFields>
  <rowItems count="6">
    <i>
      <x/>
    </i>
    <i>
      <x v="1"/>
    </i>
    <i>
      <x v="2"/>
    </i>
    <i>
      <x v="3"/>
    </i>
    <i>
      <x v="4"/>
    </i>
    <i t="grand">
      <x/>
    </i>
  </rowItems>
  <colItems count="1">
    <i/>
  </colItems>
  <dataFields count="1">
    <dataField name="Sum of Count" fld="4" baseField="0" baseItem="0"/>
  </dataFields>
  <chartFormats count="2">
    <chartFormat chart="1" format="5"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611582-34AD-42FD-9B9A-770AF920BC1D}"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7:B47" firstHeaderRow="1" firstDataRow="1" firstDataCol="1"/>
  <pivotFields count="5">
    <pivotField showAll="0">
      <items count="6">
        <item x="0"/>
        <item x="1"/>
        <item x="2"/>
        <item x="3"/>
        <item x="4"/>
        <item t="default"/>
      </items>
    </pivotField>
    <pivotField showAll="0"/>
    <pivotField showAll="0"/>
    <pivotField axis="axisRow" showAll="0">
      <items count="10">
        <item x="8"/>
        <item x="1"/>
        <item x="2"/>
        <item x="3"/>
        <item x="0"/>
        <item x="4"/>
        <item x="7"/>
        <item x="6"/>
        <item x="5"/>
        <item t="default"/>
      </items>
    </pivotField>
    <pivotField dataField="1" showAll="0"/>
  </pivotFields>
  <rowFields count="1">
    <field x="3"/>
  </rowFields>
  <rowItems count="10">
    <i>
      <x/>
    </i>
    <i>
      <x v="1"/>
    </i>
    <i>
      <x v="2"/>
    </i>
    <i>
      <x v="3"/>
    </i>
    <i>
      <x v="4"/>
    </i>
    <i>
      <x v="5"/>
    </i>
    <i>
      <x v="6"/>
    </i>
    <i>
      <x v="7"/>
    </i>
    <i>
      <x v="8"/>
    </i>
    <i t="grand">
      <x/>
    </i>
  </rowItems>
  <colItems count="1">
    <i/>
  </colItems>
  <dataFields count="1">
    <dataField name="Sum of Count" fld="4" baseField="0" baseItem="0"/>
  </dataFields>
  <chartFormats count="20">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3" count="1" selected="0">
            <x v="0"/>
          </reference>
        </references>
      </pivotArea>
    </chartFormat>
    <chartFormat chart="12" format="2">
      <pivotArea type="data" outline="0" fieldPosition="0">
        <references count="2">
          <reference field="4294967294" count="1" selected="0">
            <x v="0"/>
          </reference>
          <reference field="3" count="1" selected="0">
            <x v="1"/>
          </reference>
        </references>
      </pivotArea>
    </chartFormat>
    <chartFormat chart="12" format="3">
      <pivotArea type="data" outline="0" fieldPosition="0">
        <references count="2">
          <reference field="4294967294" count="1" selected="0">
            <x v="0"/>
          </reference>
          <reference field="3" count="1" selected="0">
            <x v="8"/>
          </reference>
        </references>
      </pivotArea>
    </chartFormat>
    <chartFormat chart="12" format="4">
      <pivotArea type="data" outline="0" fieldPosition="0">
        <references count="2">
          <reference field="4294967294" count="1" selected="0">
            <x v="0"/>
          </reference>
          <reference field="3" count="1" selected="0">
            <x v="3"/>
          </reference>
        </references>
      </pivotArea>
    </chartFormat>
    <chartFormat chart="12" format="5">
      <pivotArea type="data" outline="0" fieldPosition="0">
        <references count="2">
          <reference field="4294967294" count="1" selected="0">
            <x v="0"/>
          </reference>
          <reference field="3" count="1" selected="0">
            <x v="7"/>
          </reference>
        </references>
      </pivotArea>
    </chartFormat>
    <chartFormat chart="12" format="6">
      <pivotArea type="data" outline="0" fieldPosition="0">
        <references count="2">
          <reference field="4294967294" count="1" selected="0">
            <x v="0"/>
          </reference>
          <reference field="3" count="1" selected="0">
            <x v="6"/>
          </reference>
        </references>
      </pivotArea>
    </chartFormat>
    <chartFormat chart="12" format="7">
      <pivotArea type="data" outline="0" fieldPosition="0">
        <references count="2">
          <reference field="4294967294" count="1" selected="0">
            <x v="0"/>
          </reference>
          <reference field="3" count="1" selected="0">
            <x v="4"/>
          </reference>
        </references>
      </pivotArea>
    </chartFormat>
    <chartFormat chart="12" format="8">
      <pivotArea type="data" outline="0" fieldPosition="0">
        <references count="2">
          <reference field="4294967294" count="1" selected="0">
            <x v="0"/>
          </reference>
          <reference field="3" count="1" selected="0">
            <x v="2"/>
          </reference>
        </references>
      </pivotArea>
    </chartFormat>
    <chartFormat chart="12" format="9">
      <pivotArea type="data" outline="0" fieldPosition="0">
        <references count="2">
          <reference field="4294967294" count="1" selected="0">
            <x v="0"/>
          </reference>
          <reference field="3" count="1" selected="0">
            <x v="5"/>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2">
          <reference field="4294967294" count="1" selected="0">
            <x v="0"/>
          </reference>
          <reference field="3" count="1" selected="0">
            <x v="0"/>
          </reference>
        </references>
      </pivotArea>
    </chartFormat>
    <chartFormat chart="17" format="22">
      <pivotArea type="data" outline="0" fieldPosition="0">
        <references count="2">
          <reference field="4294967294" count="1" selected="0">
            <x v="0"/>
          </reference>
          <reference field="3" count="1" selected="0">
            <x v="1"/>
          </reference>
        </references>
      </pivotArea>
    </chartFormat>
    <chartFormat chart="17" format="23">
      <pivotArea type="data" outline="0" fieldPosition="0">
        <references count="2">
          <reference field="4294967294" count="1" selected="0">
            <x v="0"/>
          </reference>
          <reference field="3" count="1" selected="0">
            <x v="2"/>
          </reference>
        </references>
      </pivotArea>
    </chartFormat>
    <chartFormat chart="17" format="24">
      <pivotArea type="data" outline="0" fieldPosition="0">
        <references count="2">
          <reference field="4294967294" count="1" selected="0">
            <x v="0"/>
          </reference>
          <reference field="3" count="1" selected="0">
            <x v="3"/>
          </reference>
        </references>
      </pivotArea>
    </chartFormat>
    <chartFormat chart="17" format="25">
      <pivotArea type="data" outline="0" fieldPosition="0">
        <references count="2">
          <reference field="4294967294" count="1" selected="0">
            <x v="0"/>
          </reference>
          <reference field="3" count="1" selected="0">
            <x v="4"/>
          </reference>
        </references>
      </pivotArea>
    </chartFormat>
    <chartFormat chart="17" format="26">
      <pivotArea type="data" outline="0" fieldPosition="0">
        <references count="2">
          <reference field="4294967294" count="1" selected="0">
            <x v="0"/>
          </reference>
          <reference field="3" count="1" selected="0">
            <x v="5"/>
          </reference>
        </references>
      </pivotArea>
    </chartFormat>
    <chartFormat chart="17" format="27">
      <pivotArea type="data" outline="0" fieldPosition="0">
        <references count="2">
          <reference field="4294967294" count="1" selected="0">
            <x v="0"/>
          </reference>
          <reference field="3" count="1" selected="0">
            <x v="6"/>
          </reference>
        </references>
      </pivotArea>
    </chartFormat>
    <chartFormat chart="17" format="28">
      <pivotArea type="data" outline="0" fieldPosition="0">
        <references count="2">
          <reference field="4294967294" count="1" selected="0">
            <x v="0"/>
          </reference>
          <reference field="3" count="1" selected="0">
            <x v="7"/>
          </reference>
        </references>
      </pivotArea>
    </chartFormat>
    <chartFormat chart="17" format="2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E33EFE-2359-47E0-AFB6-D664C5BE9A0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2:J27" firstHeaderRow="1" firstDataRow="1" firstDataCol="1"/>
  <pivotFields count="5">
    <pivotField showAll="0">
      <items count="6">
        <item x="0"/>
        <item x="1"/>
        <item x="2"/>
        <item x="3"/>
        <item x="4"/>
        <item t="default"/>
      </items>
    </pivotField>
    <pivotField axis="axisRow" showAll="0">
      <items count="13">
        <item x="9"/>
        <item x="10"/>
        <item x="11"/>
        <item x="0"/>
        <item x="1"/>
        <item x="2"/>
        <item x="3"/>
        <item x="4"/>
        <item x="5"/>
        <item x="6"/>
        <item x="7"/>
        <item x="8"/>
        <item t="default"/>
      </items>
    </pivotField>
    <pivotField axis="axisRow" showAll="0">
      <items count="13">
        <item x="0"/>
        <item x="1"/>
        <item x="2"/>
        <item x="3"/>
        <item x="4"/>
        <item x="5"/>
        <item x="6"/>
        <item x="7"/>
        <item x="8"/>
        <item x="9"/>
        <item x="10"/>
        <item x="11"/>
        <item t="default"/>
      </items>
    </pivotField>
    <pivotField showAll="0">
      <items count="10">
        <item x="4"/>
        <item x="0"/>
        <item x="3"/>
        <item x="7"/>
        <item x="6"/>
        <item x="8"/>
        <item x="1"/>
        <item x="5"/>
        <item x="2"/>
        <item t="default"/>
      </items>
    </pivotField>
    <pivotField dataField="1" showAll="0"/>
  </pivotFields>
  <rowFields count="2">
    <field x="2"/>
    <field x="1"/>
  </rowFields>
  <rowItems count="25">
    <i>
      <x/>
    </i>
    <i r="1">
      <x v="3"/>
    </i>
    <i>
      <x v="1"/>
    </i>
    <i r="1">
      <x v="4"/>
    </i>
    <i>
      <x v="2"/>
    </i>
    <i r="1">
      <x v="5"/>
    </i>
    <i>
      <x v="3"/>
    </i>
    <i r="1">
      <x v="6"/>
    </i>
    <i>
      <x v="4"/>
    </i>
    <i r="1">
      <x v="7"/>
    </i>
    <i>
      <x v="5"/>
    </i>
    <i r="1">
      <x v="8"/>
    </i>
    <i>
      <x v="6"/>
    </i>
    <i r="1">
      <x v="9"/>
    </i>
    <i>
      <x v="7"/>
    </i>
    <i r="1">
      <x v="10"/>
    </i>
    <i>
      <x v="8"/>
    </i>
    <i r="1">
      <x v="11"/>
    </i>
    <i>
      <x v="9"/>
    </i>
    <i r="1">
      <x/>
    </i>
    <i>
      <x v="10"/>
    </i>
    <i r="1">
      <x v="1"/>
    </i>
    <i>
      <x v="11"/>
    </i>
    <i r="1">
      <x v="2"/>
    </i>
    <i t="grand">
      <x/>
    </i>
  </rowItems>
  <colItems count="1">
    <i/>
  </colItems>
  <dataFields count="1">
    <dataField name="Sum of Count" fld="4" baseField="0" baseItem="0"/>
  </dataField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9FE7BC-68DF-403D-9F79-47752958B72B}" name="PivotTable1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C8" firstHeaderRow="0" firstDataRow="1" firstDataCol="1"/>
  <pivotFields count="7">
    <pivotField axis="axisRow"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pivotField showAll="0"/>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kjss count" fld="5" baseField="0" baseItem="0"/>
    <dataField name="non kjss count" fld="6" baseField="0" baseItem="0"/>
  </dataFields>
  <chartFormats count="4">
    <chartFormat chart="13"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3516B6-A651-46C5-8364-EE923679F845}"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40:C43" firstHeaderRow="1" firstDataRow="1" firstDataCol="1"/>
  <pivotFields count="3">
    <pivotField showAll="0">
      <items count="6">
        <item x="0"/>
        <item x="1"/>
        <item x="2"/>
        <item x="3"/>
        <item x="4"/>
        <item t="default"/>
      </items>
    </pivotField>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Sum of total" fld="2" baseField="0" baseItem="0"/>
  </dataFields>
  <chartFormats count="6">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 count="1" selected="0">
            <x v="0"/>
          </reference>
        </references>
      </pivotArea>
    </chartFormat>
    <chartFormat chart="15"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6273DD-1C1A-4118-A807-7EE07716F0A4}" name="PivotTable1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H27" firstHeaderRow="0" firstDataRow="1" firstDataCol="1"/>
  <pivotFields count="7">
    <pivotField showAll="0">
      <items count="6">
        <item x="0"/>
        <item x="1"/>
        <item x="2"/>
        <item x="3"/>
        <item x="4"/>
        <item t="default"/>
      </items>
    </pivotField>
    <pivotField axis="axisRow" showAll="0">
      <items count="13">
        <item x="9"/>
        <item x="10"/>
        <item x="11"/>
        <item x="0"/>
        <item x="1"/>
        <item x="2"/>
        <item x="3"/>
        <item x="4"/>
        <item x="5"/>
        <item x="6"/>
        <item x="7"/>
        <item x="8"/>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dataField="1" showAll="0"/>
  </pivotFields>
  <rowFields count="2">
    <field x="2"/>
    <field x="1"/>
  </rowFields>
  <rowItems count="25">
    <i>
      <x/>
    </i>
    <i r="1">
      <x v="3"/>
    </i>
    <i>
      <x v="1"/>
    </i>
    <i r="1">
      <x v="4"/>
    </i>
    <i>
      <x v="2"/>
    </i>
    <i r="1">
      <x v="5"/>
    </i>
    <i>
      <x v="3"/>
    </i>
    <i r="1">
      <x v="6"/>
    </i>
    <i>
      <x v="4"/>
    </i>
    <i r="1">
      <x v="7"/>
    </i>
    <i>
      <x v="5"/>
    </i>
    <i r="1">
      <x v="8"/>
    </i>
    <i>
      <x v="6"/>
    </i>
    <i r="1">
      <x v="9"/>
    </i>
    <i>
      <x v="7"/>
    </i>
    <i r="1">
      <x v="10"/>
    </i>
    <i>
      <x v="8"/>
    </i>
    <i r="1">
      <x v="11"/>
    </i>
    <i>
      <x v="9"/>
    </i>
    <i r="1">
      <x/>
    </i>
    <i>
      <x v="10"/>
    </i>
    <i r="1">
      <x v="1"/>
    </i>
    <i>
      <x v="11"/>
    </i>
    <i r="1">
      <x v="2"/>
    </i>
    <i t="grand">
      <x/>
    </i>
  </rowItems>
  <colFields count="1">
    <field x="-2"/>
  </colFields>
  <colItems count="2">
    <i>
      <x/>
    </i>
    <i i="1">
      <x v="1"/>
    </i>
  </colItems>
  <dataFields count="2">
    <dataField name="kjss count" fld="5" baseField="1" baseItem="10"/>
    <dataField name="non kjss count" fld="6" baseField="1" baseItem="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1EDD0B-547A-48FA-9E3A-B8065AA6E897}" name="PivotTable2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I27" firstHeaderRow="0" firstDataRow="1" firstDataCol="1"/>
  <pivotFields count="7">
    <pivotField showAll="0">
      <items count="6">
        <item x="0"/>
        <item x="1"/>
        <item x="2"/>
        <item x="3"/>
        <item x="4"/>
        <item t="default"/>
      </items>
    </pivotField>
    <pivotField axis="axisRow" showAll="0">
      <items count="13">
        <item x="9"/>
        <item x="10"/>
        <item x="11"/>
        <item x="0"/>
        <item x="1"/>
        <item x="2"/>
        <item x="3"/>
        <item x="4"/>
        <item x="5"/>
        <item x="6"/>
        <item x="7"/>
        <item x="8"/>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dataField="1" showAll="0"/>
  </pivotFields>
  <rowFields count="2">
    <field x="2"/>
    <field x="1"/>
  </rowFields>
  <rowItems count="25">
    <i>
      <x/>
    </i>
    <i r="1">
      <x v="3"/>
    </i>
    <i>
      <x v="1"/>
    </i>
    <i r="1">
      <x v="4"/>
    </i>
    <i>
      <x v="2"/>
    </i>
    <i r="1">
      <x v="5"/>
    </i>
    <i>
      <x v="3"/>
    </i>
    <i r="1">
      <x v="6"/>
    </i>
    <i>
      <x v="4"/>
    </i>
    <i r="1">
      <x v="7"/>
    </i>
    <i>
      <x v="5"/>
    </i>
    <i r="1">
      <x v="8"/>
    </i>
    <i>
      <x v="6"/>
    </i>
    <i r="1">
      <x v="9"/>
    </i>
    <i>
      <x v="7"/>
    </i>
    <i r="1">
      <x v="10"/>
    </i>
    <i>
      <x v="8"/>
    </i>
    <i r="1">
      <x v="11"/>
    </i>
    <i>
      <x v="9"/>
    </i>
    <i r="1">
      <x/>
    </i>
    <i>
      <x v="10"/>
    </i>
    <i r="1">
      <x v="1"/>
    </i>
    <i>
      <x v="11"/>
    </i>
    <i r="1">
      <x v="2"/>
    </i>
    <i t="grand">
      <x/>
    </i>
  </rowItems>
  <colFields count="1">
    <field x="-2"/>
  </colFields>
  <colItems count="2">
    <i>
      <x/>
    </i>
    <i i="1">
      <x v="1"/>
    </i>
  </colItems>
  <dataFields count="2">
    <dataField name="Sum of kjss" fld="5" baseField="0" baseItem="0"/>
    <dataField name="Sum of non kjss" fld="6"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66B990-7CED-4F3A-AD13-9A69559A53B2}" name="PivotTable2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C8" firstHeaderRow="0" firstDataRow="1" firstDataCol="1"/>
  <pivotFields count="7">
    <pivotField axis="axisRow"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pivotField showAll="0"/>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kjss count" fld="5" baseField="0" baseItem="1"/>
    <dataField name="non kjss count" fld="6" baseField="0" baseItem="1"/>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93DBBF-EBCD-43DB-90CF-A6AEF927B40A}" name="PivotTable2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56:E59" firstHeaderRow="1" firstDataRow="1" firstDataCol="1"/>
  <pivotFields count="3">
    <pivotField showAll="0">
      <items count="6">
        <item x="0"/>
        <item x="1"/>
        <item x="2"/>
        <item x="3"/>
        <item x="4"/>
        <item t="default"/>
      </items>
    </pivotField>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Sum of total" fld="2"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9E97C8-E3EC-4C2A-9AE2-26C03F18A84C}" name="PivotTable2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C8" firstHeaderRow="0" firstDataRow="1" firstDataCol="1"/>
  <pivotFields count="7">
    <pivotField axis="axisRow"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pivotField showAll="0"/>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Sum of kjss" fld="5" baseField="0" baseItem="0"/>
    <dataField name="Sum of non kjss" fld="6"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54B697-B975-470D-8BB4-7251AC501D73}" name="PivotTable2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43:G46" firstHeaderRow="1" firstDataRow="1" firstDataCol="1"/>
  <pivotFields count="3">
    <pivotField showAll="0">
      <items count="6">
        <item x="0"/>
        <item x="1"/>
        <item x="2"/>
        <item x="3"/>
        <item x="4"/>
        <item t="default"/>
      </items>
    </pivotField>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Sum of total" fld="2"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F60738-94A2-4ED2-8265-6F199AC608BF}" name="PivotTable2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J27" firstHeaderRow="0" firstDataRow="1" firstDataCol="1"/>
  <pivotFields count="7">
    <pivotField showAll="0">
      <items count="6">
        <item x="0"/>
        <item x="1"/>
        <item x="2"/>
        <item x="3"/>
        <item x="4"/>
        <item t="default"/>
      </items>
    </pivotField>
    <pivotField axis="axisRow" showAll="0">
      <items count="13">
        <item x="9"/>
        <item x="10"/>
        <item x="11"/>
        <item x="0"/>
        <item x="1"/>
        <item x="2"/>
        <item x="3"/>
        <item x="4"/>
        <item x="5"/>
        <item x="6"/>
        <item x="7"/>
        <item x="8"/>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dataField="1" showAll="0"/>
  </pivotFields>
  <rowFields count="2">
    <field x="2"/>
    <field x="1"/>
  </rowFields>
  <rowItems count="25">
    <i>
      <x/>
    </i>
    <i r="1">
      <x v="3"/>
    </i>
    <i>
      <x v="1"/>
    </i>
    <i r="1">
      <x v="4"/>
    </i>
    <i>
      <x v="2"/>
    </i>
    <i r="1">
      <x v="5"/>
    </i>
    <i>
      <x v="3"/>
    </i>
    <i r="1">
      <x v="6"/>
    </i>
    <i>
      <x v="4"/>
    </i>
    <i r="1">
      <x v="7"/>
    </i>
    <i>
      <x v="5"/>
    </i>
    <i r="1">
      <x v="8"/>
    </i>
    <i>
      <x v="6"/>
    </i>
    <i r="1">
      <x v="9"/>
    </i>
    <i>
      <x v="7"/>
    </i>
    <i r="1">
      <x v="10"/>
    </i>
    <i>
      <x v="8"/>
    </i>
    <i r="1">
      <x v="11"/>
    </i>
    <i>
      <x v="9"/>
    </i>
    <i r="1">
      <x/>
    </i>
    <i>
      <x v="10"/>
    </i>
    <i r="1">
      <x v="1"/>
    </i>
    <i>
      <x v="11"/>
    </i>
    <i r="1">
      <x v="2"/>
    </i>
    <i t="grand">
      <x/>
    </i>
  </rowItems>
  <colFields count="1">
    <field x="-2"/>
  </colFields>
  <colItems count="2">
    <i>
      <x/>
    </i>
    <i i="1">
      <x v="1"/>
    </i>
  </colItems>
  <dataFields count="2">
    <dataField name="Sum of kjss" fld="5" baseField="0" baseItem="0"/>
    <dataField name="Sum of non kjss"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561B86-E0A0-4414-A89E-4B1511E1093D}"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56:H59" firstHeaderRow="1" firstDataRow="1" firstDataCol="1"/>
  <pivotFields count="3">
    <pivotField showAll="0">
      <items count="6">
        <item x="0"/>
        <item x="1"/>
        <item x="2"/>
        <item x="3"/>
        <item x="4"/>
        <item t="default"/>
      </items>
    </pivotField>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Sum of total" fld="2" baseField="0" baseItem="0"/>
  </dataFields>
  <chartFormats count="8">
    <chartFormat chart="4" format="5" series="1">
      <pivotArea type="data" outline="0" fieldPosition="0">
        <references count="1">
          <reference field="1" count="1" selected="0">
            <x v="1"/>
          </reference>
        </references>
      </pivotArea>
    </chartFormat>
    <chartFormat chart="4" format="6" series="1">
      <pivotArea type="data" outline="0" fieldPosition="0">
        <references count="1">
          <reference field="1"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 count="1" selected="0">
            <x v="0"/>
          </reference>
        </references>
      </pivotArea>
    </chartFormat>
    <chartFormat chart="9" format="1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089F6A0-2E4F-4AAB-8ED3-1FA8571D0321}"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3:C9" firstHeaderRow="0" firstDataRow="1" firstDataCol="1"/>
  <pivotFields count="7">
    <pivotField axis="axisRow"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pivotField showAll="0"/>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kjss count" fld="5" baseField="0" baseItem="0"/>
    <dataField name="Non kjss count " fld="6" baseField="0" baseItem="0"/>
  </dataFields>
  <chartFormats count="6">
    <chartFormat chart="25"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1"/>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43" format="5"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DEE1A9C-0CEE-4FFB-B383-B3E60C7C891F}"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G3:I28" firstHeaderRow="0" firstDataRow="1" firstDataCol="1"/>
  <pivotFields count="7">
    <pivotField showAll="0">
      <items count="6">
        <item x="0"/>
        <item x="1"/>
        <item x="2"/>
        <item x="3"/>
        <item x="4"/>
        <item t="default"/>
      </items>
    </pivotField>
    <pivotField axis="axisRow" showAll="0">
      <items count="13">
        <item x="9"/>
        <item x="10"/>
        <item x="11"/>
        <item x="0"/>
        <item x="1"/>
        <item x="2"/>
        <item x="3"/>
        <item x="4"/>
        <item x="5"/>
        <item x="6"/>
        <item x="7"/>
        <item x="8"/>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dataField="1" showAll="0"/>
  </pivotFields>
  <rowFields count="2">
    <field x="2"/>
    <field x="1"/>
  </rowFields>
  <rowItems count="25">
    <i>
      <x/>
    </i>
    <i r="1">
      <x v="3"/>
    </i>
    <i>
      <x v="1"/>
    </i>
    <i r="1">
      <x v="4"/>
    </i>
    <i>
      <x v="2"/>
    </i>
    <i r="1">
      <x v="5"/>
    </i>
    <i>
      <x v="3"/>
    </i>
    <i r="1">
      <x v="6"/>
    </i>
    <i>
      <x v="4"/>
    </i>
    <i r="1">
      <x v="7"/>
    </i>
    <i>
      <x v="5"/>
    </i>
    <i r="1">
      <x v="8"/>
    </i>
    <i>
      <x v="6"/>
    </i>
    <i r="1">
      <x v="9"/>
    </i>
    <i>
      <x v="7"/>
    </i>
    <i r="1">
      <x v="10"/>
    </i>
    <i>
      <x v="8"/>
    </i>
    <i r="1">
      <x v="11"/>
    </i>
    <i>
      <x v="9"/>
    </i>
    <i r="1">
      <x/>
    </i>
    <i>
      <x v="10"/>
    </i>
    <i r="1">
      <x v="1"/>
    </i>
    <i>
      <x v="11"/>
    </i>
    <i r="1">
      <x v="2"/>
    </i>
    <i t="grand">
      <x/>
    </i>
  </rowItems>
  <colFields count="1">
    <field x="-2"/>
  </colFields>
  <colItems count="2">
    <i>
      <x/>
    </i>
    <i i="1">
      <x v="1"/>
    </i>
  </colItems>
  <dataFields count="2">
    <dataField name="kjss count" fld="5" baseField="0" baseItem="0"/>
    <dataField name="Non kjss count" fld="6"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D439317-BFD7-433E-8B20-921620DC74DB}"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3:B46" firstHeaderRow="1" firstDataRow="1" firstDataCol="1"/>
  <pivotFields count="3">
    <pivotField showAll="0">
      <items count="6">
        <item x="0"/>
        <item x="1"/>
        <item x="2"/>
        <item x="3"/>
        <item x="4"/>
        <item t="default"/>
      </items>
    </pivotField>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Sum of total" fld="2" baseField="0" baseItem="0"/>
  </dataFields>
  <chartFormats count="6">
    <chartFormat chart="1" format="0"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 count="1" selected="0">
            <x v="0"/>
          </reference>
        </references>
      </pivotArea>
    </chartFormat>
    <chartFormat chart="1" format="6">
      <pivotArea type="data" outline="0" fieldPosition="0">
        <references count="2">
          <reference field="4294967294" count="1" selected="0">
            <x v="0"/>
          </reference>
          <reference field="1"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 count="1" selected="0">
            <x v="0"/>
          </reference>
        </references>
      </pivotArea>
    </chartFormat>
    <chartFormat chart="10"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8E212E5-979D-4C17-AC90-0978A1E9C799}" name="PivotTable2" cacheId="1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G1:I26" firstHeaderRow="0" firstDataRow="1" firstDataCol="1"/>
  <pivotFields count="7">
    <pivotField showAll="0">
      <items count="6">
        <item x="0"/>
        <item x="1"/>
        <item x="2"/>
        <item x="3"/>
        <item x="4"/>
        <item t="default"/>
      </items>
    </pivotField>
    <pivotField axis="axisRow" showAll="0">
      <items count="13">
        <item x="9"/>
        <item x="10"/>
        <item x="11"/>
        <item x="0"/>
        <item x="1"/>
        <item x="2"/>
        <item x="3"/>
        <item x="4"/>
        <item x="5"/>
        <item x="6"/>
        <item x="7"/>
        <item x="8"/>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dataField="1" showAll="0"/>
  </pivotFields>
  <rowFields count="2">
    <field x="2"/>
    <field x="1"/>
  </rowFields>
  <rowItems count="25">
    <i>
      <x/>
    </i>
    <i r="1">
      <x v="3"/>
    </i>
    <i>
      <x v="1"/>
    </i>
    <i r="1">
      <x v="4"/>
    </i>
    <i>
      <x v="2"/>
    </i>
    <i r="1">
      <x v="5"/>
    </i>
    <i>
      <x v="3"/>
    </i>
    <i r="1">
      <x v="6"/>
    </i>
    <i>
      <x v="4"/>
    </i>
    <i r="1">
      <x v="7"/>
    </i>
    <i>
      <x v="5"/>
    </i>
    <i r="1">
      <x v="8"/>
    </i>
    <i>
      <x v="6"/>
    </i>
    <i r="1">
      <x v="9"/>
    </i>
    <i>
      <x v="7"/>
    </i>
    <i r="1">
      <x v="10"/>
    </i>
    <i>
      <x v="8"/>
    </i>
    <i r="1">
      <x v="11"/>
    </i>
    <i>
      <x v="9"/>
    </i>
    <i r="1">
      <x/>
    </i>
    <i>
      <x v="10"/>
    </i>
    <i r="1">
      <x v="1"/>
    </i>
    <i>
      <x v="11"/>
    </i>
    <i r="1">
      <x v="2"/>
    </i>
    <i t="grand">
      <x/>
    </i>
  </rowItems>
  <colFields count="1">
    <field x="-2"/>
  </colFields>
  <colItems count="2">
    <i>
      <x/>
    </i>
    <i i="1">
      <x v="1"/>
    </i>
  </colItems>
  <dataFields count="2">
    <dataField name="kjss count" fld="5" baseField="2" baseItem="7"/>
    <dataField name="non kjss count" fld="6" baseField="2" baseItem="7"/>
  </dataFields>
  <chartFormats count="26">
    <chartFormat chart="35" format="2" series="1">
      <pivotArea type="data" outline="0" fieldPosition="0">
        <references count="1">
          <reference field="4294967294" count="1" selected="0">
            <x v="0"/>
          </reference>
        </references>
      </pivotArea>
    </chartFormat>
    <chartFormat chart="4" format="2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1"/>
          </reference>
        </references>
      </pivotArea>
    </chartFormat>
    <chartFormat chart="4" format="23" series="1">
      <pivotArea type="data" outline="0" fieldPosition="0">
        <references count="1">
          <reference field="4294967294" count="1" selected="0">
            <x v="1"/>
          </reference>
        </references>
      </pivotArea>
    </chartFormat>
    <chartFormat chart="35" format="4" series="1">
      <pivotArea type="data" outline="0" fieldPosition="0">
        <references count="3">
          <reference field="4294967294" count="1" selected="0">
            <x v="0"/>
          </reference>
          <reference field="1" count="1" selected="0">
            <x v="5"/>
          </reference>
          <reference field="2" count="1" selected="0">
            <x v="2"/>
          </reference>
        </references>
      </pivotArea>
    </chartFormat>
    <chartFormat chart="35" format="5" series="1">
      <pivotArea type="data" outline="0" fieldPosition="0">
        <references count="3">
          <reference field="4294967294" count="1" selected="0">
            <x v="0"/>
          </reference>
          <reference field="1" count="1" selected="0">
            <x v="6"/>
          </reference>
          <reference field="2" count="1" selected="0">
            <x v="3"/>
          </reference>
        </references>
      </pivotArea>
    </chartFormat>
    <chartFormat chart="35" format="6" series="1">
      <pivotArea type="data" outline="0" fieldPosition="0">
        <references count="3">
          <reference field="4294967294" count="1" selected="0">
            <x v="0"/>
          </reference>
          <reference field="1" count="1" selected="0">
            <x v="7"/>
          </reference>
          <reference field="2" count="1" selected="0">
            <x v="4"/>
          </reference>
        </references>
      </pivotArea>
    </chartFormat>
    <chartFormat chart="35" format="7" series="1">
      <pivotArea type="data" outline="0" fieldPosition="0">
        <references count="3">
          <reference field="4294967294" count="1" selected="0">
            <x v="0"/>
          </reference>
          <reference field="1" count="1" selected="0">
            <x v="8"/>
          </reference>
          <reference field="2" count="1" selected="0">
            <x v="5"/>
          </reference>
        </references>
      </pivotArea>
    </chartFormat>
    <chartFormat chart="35" format="8" series="1">
      <pivotArea type="data" outline="0" fieldPosition="0">
        <references count="3">
          <reference field="4294967294" count="1" selected="0">
            <x v="0"/>
          </reference>
          <reference field="1" count="1" selected="0">
            <x v="9"/>
          </reference>
          <reference field="2" count="1" selected="0">
            <x v="6"/>
          </reference>
        </references>
      </pivotArea>
    </chartFormat>
    <chartFormat chart="35" format="9" series="1">
      <pivotArea type="data" outline="0" fieldPosition="0">
        <references count="3">
          <reference field="4294967294" count="1" selected="0">
            <x v="0"/>
          </reference>
          <reference field="1" count="1" selected="0">
            <x v="10"/>
          </reference>
          <reference field="2" count="1" selected="0">
            <x v="7"/>
          </reference>
        </references>
      </pivotArea>
    </chartFormat>
    <chartFormat chart="35" format="10" series="1">
      <pivotArea type="data" outline="0" fieldPosition="0">
        <references count="3">
          <reference field="4294967294" count="1" selected="0">
            <x v="0"/>
          </reference>
          <reference field="1" count="1" selected="0">
            <x v="11"/>
          </reference>
          <reference field="2" count="1" selected="0">
            <x v="8"/>
          </reference>
        </references>
      </pivotArea>
    </chartFormat>
    <chartFormat chart="35" format="11" series="1">
      <pivotArea type="data" outline="0" fieldPosition="0">
        <references count="3">
          <reference field="4294967294" count="1" selected="0">
            <x v="0"/>
          </reference>
          <reference field="1" count="1" selected="0">
            <x v="0"/>
          </reference>
          <reference field="2" count="1" selected="0">
            <x v="9"/>
          </reference>
        </references>
      </pivotArea>
    </chartFormat>
    <chartFormat chart="35" format="12" series="1">
      <pivotArea type="data" outline="0" fieldPosition="0">
        <references count="3">
          <reference field="4294967294" count="1" selected="0">
            <x v="0"/>
          </reference>
          <reference field="1" count="1" selected="0">
            <x v="1"/>
          </reference>
          <reference field="2" count="1" selected="0">
            <x v="10"/>
          </reference>
        </references>
      </pivotArea>
    </chartFormat>
    <chartFormat chart="35" format="13" series="1">
      <pivotArea type="data" outline="0" fieldPosition="0">
        <references count="3">
          <reference field="4294967294" count="1" selected="0">
            <x v="0"/>
          </reference>
          <reference field="1" count="1" selected="0">
            <x v="2"/>
          </reference>
          <reference field="2" count="1" selected="0">
            <x v="11"/>
          </reference>
        </references>
      </pivotArea>
    </chartFormat>
    <chartFormat chart="4" format="24" series="1">
      <pivotArea type="data" outline="0" fieldPosition="0">
        <references count="3">
          <reference field="4294967294" count="1" selected="0">
            <x v="0"/>
          </reference>
          <reference field="1" count="1" selected="0">
            <x v="5"/>
          </reference>
          <reference field="2" count="1" selected="0">
            <x v="2"/>
          </reference>
        </references>
      </pivotArea>
    </chartFormat>
    <chartFormat chart="4" format="25" series="1">
      <pivotArea type="data" outline="0" fieldPosition="0">
        <references count="3">
          <reference field="4294967294" count="1" selected="0">
            <x v="0"/>
          </reference>
          <reference field="1" count="1" selected="0">
            <x v="6"/>
          </reference>
          <reference field="2" count="1" selected="0">
            <x v="3"/>
          </reference>
        </references>
      </pivotArea>
    </chartFormat>
    <chartFormat chart="4" format="26" series="1">
      <pivotArea type="data" outline="0" fieldPosition="0">
        <references count="3">
          <reference field="4294967294" count="1" selected="0">
            <x v="0"/>
          </reference>
          <reference field="1" count="1" selected="0">
            <x v="7"/>
          </reference>
          <reference field="2" count="1" selected="0">
            <x v="4"/>
          </reference>
        </references>
      </pivotArea>
    </chartFormat>
    <chartFormat chart="4" format="27" series="1">
      <pivotArea type="data" outline="0" fieldPosition="0">
        <references count="3">
          <reference field="4294967294" count="1" selected="0">
            <x v="0"/>
          </reference>
          <reference field="1" count="1" selected="0">
            <x v="8"/>
          </reference>
          <reference field="2" count="1" selected="0">
            <x v="5"/>
          </reference>
        </references>
      </pivotArea>
    </chartFormat>
    <chartFormat chart="4" format="28" series="1">
      <pivotArea type="data" outline="0" fieldPosition="0">
        <references count="3">
          <reference field="4294967294" count="1" selected="0">
            <x v="0"/>
          </reference>
          <reference field="1" count="1" selected="0">
            <x v="9"/>
          </reference>
          <reference field="2" count="1" selected="0">
            <x v="6"/>
          </reference>
        </references>
      </pivotArea>
    </chartFormat>
    <chartFormat chart="4" format="29" series="1">
      <pivotArea type="data" outline="0" fieldPosition="0">
        <references count="3">
          <reference field="4294967294" count="1" selected="0">
            <x v="0"/>
          </reference>
          <reference field="1" count="1" selected="0">
            <x v="10"/>
          </reference>
          <reference field="2" count="1" selected="0">
            <x v="7"/>
          </reference>
        </references>
      </pivotArea>
    </chartFormat>
    <chartFormat chart="4" format="30" series="1">
      <pivotArea type="data" outline="0" fieldPosition="0">
        <references count="3">
          <reference field="4294967294" count="1" selected="0">
            <x v="0"/>
          </reference>
          <reference field="1" count="1" selected="0">
            <x v="11"/>
          </reference>
          <reference field="2" count="1" selected="0">
            <x v="8"/>
          </reference>
        </references>
      </pivotArea>
    </chartFormat>
    <chartFormat chart="4" format="31" series="1">
      <pivotArea type="data" outline="0" fieldPosition="0">
        <references count="3">
          <reference field="4294967294" count="1" selected="0">
            <x v="0"/>
          </reference>
          <reference field="1" count="1" selected="0">
            <x v="0"/>
          </reference>
          <reference field="2" count="1" selected="0">
            <x v="9"/>
          </reference>
        </references>
      </pivotArea>
    </chartFormat>
    <chartFormat chart="4" format="32" series="1">
      <pivotArea type="data" outline="0" fieldPosition="0">
        <references count="3">
          <reference field="4294967294" count="1" selected="0">
            <x v="0"/>
          </reference>
          <reference field="1" count="1" selected="0">
            <x v="1"/>
          </reference>
          <reference field="2" count="1" selected="0">
            <x v="10"/>
          </reference>
        </references>
      </pivotArea>
    </chartFormat>
    <chartFormat chart="4" format="33" series="1">
      <pivotArea type="data" outline="0" fieldPosition="0">
        <references count="3">
          <reference field="4294967294" count="1" selected="0">
            <x v="0"/>
          </reference>
          <reference field="1" count="1" selected="0">
            <x v="2"/>
          </reference>
          <reference field="2" count="1" selected="0">
            <x v="11"/>
          </reference>
        </references>
      </pivotArea>
    </chartFormat>
    <chartFormat chart="47" format="16" series="1">
      <pivotArea type="data" outline="0" fieldPosition="0">
        <references count="1">
          <reference field="4294967294" count="1" selected="0">
            <x v="0"/>
          </reference>
        </references>
      </pivotArea>
    </chartFormat>
    <chartFormat chart="47"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F813275-E657-4F91-97BB-9919C34BDE10}"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7" firstHeaderRow="0" firstDataRow="1" firstDataCol="1"/>
  <pivotFields count="7">
    <pivotField axis="axisRow"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pivotField showAll="0"/>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kjss count" fld="5" baseField="0" baseItem="0"/>
    <dataField name="non kjss count" fld="6"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26D0858-88AA-4C2A-A141-95C15682E6A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pivotFields count="6">
    <pivotField axis="axisRow"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dataField="1" showAll="0"/>
    <pivotField dataField="1" showAll="0"/>
    <pivotField showAll="0"/>
  </pivotFields>
  <rowFields count="1">
    <field x="0"/>
  </rowFields>
  <rowItems count="6">
    <i>
      <x/>
    </i>
    <i>
      <x v="1"/>
    </i>
    <i>
      <x v="2"/>
    </i>
    <i>
      <x v="3"/>
    </i>
    <i>
      <x v="4"/>
    </i>
    <i t="grand">
      <x/>
    </i>
  </rowItems>
  <colFields count="1">
    <field x="-2"/>
  </colFields>
  <colItems count="2">
    <i>
      <x/>
    </i>
    <i i="1">
      <x v="1"/>
    </i>
  </colItems>
  <dataFields count="2">
    <dataField name="Sonography " fld="3" baseField="0" baseItem="0"/>
    <dataField name="Sonography in Bodycheckup" fld="4"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236D3C1-90C8-4598-BCA0-38640BE776D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2:B65" firstHeaderRow="1" firstDataRow="1" firstDataCol="1"/>
  <pivotFields count="3">
    <pivotField showAll="0">
      <items count="6">
        <item x="0"/>
        <item x="1"/>
        <item x="2"/>
        <item x="3"/>
        <item x="4"/>
        <item t="default"/>
      </items>
    </pivotField>
    <pivotField axis="axisRow" showAll="0">
      <items count="5">
        <item m="1" x="2"/>
        <item m="1" x="3"/>
        <item x="0"/>
        <item x="1"/>
        <item t="default"/>
      </items>
    </pivotField>
    <pivotField dataField="1" showAll="0"/>
  </pivotFields>
  <rowFields count="1">
    <field x="1"/>
  </rowFields>
  <rowItems count="3">
    <i>
      <x v="2"/>
    </i>
    <i>
      <x v="3"/>
    </i>
    <i t="grand">
      <x/>
    </i>
  </rowItems>
  <colItems count="1">
    <i/>
  </colItems>
  <dataFields count="1">
    <dataField name="Sum of total" fld="2"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3"/>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5B00BAC-0525-43E6-84A7-1D7A16C4E801}"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I28" firstHeaderRow="0" firstDataRow="1" firstDataCol="1"/>
  <pivotFields count="6">
    <pivotField showAll="0">
      <items count="6">
        <item x="0"/>
        <item x="1"/>
        <item x="2"/>
        <item x="3"/>
        <item x="4"/>
        <item t="default"/>
      </items>
    </pivotField>
    <pivotField axis="axisRow" showAll="0">
      <items count="13">
        <item x="9"/>
        <item x="10"/>
        <item x="11"/>
        <item x="0"/>
        <item x="1"/>
        <item x="2"/>
        <item x="3"/>
        <item x="4"/>
        <item x="5"/>
        <item x="6"/>
        <item x="7"/>
        <item x="8"/>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showAll="0"/>
  </pivotFields>
  <rowFields count="2">
    <field x="2"/>
    <field x="1"/>
  </rowFields>
  <rowItems count="25">
    <i>
      <x/>
    </i>
    <i r="1">
      <x v="3"/>
    </i>
    <i>
      <x v="1"/>
    </i>
    <i r="1">
      <x v="4"/>
    </i>
    <i>
      <x v="2"/>
    </i>
    <i r="1">
      <x v="5"/>
    </i>
    <i>
      <x v="3"/>
    </i>
    <i r="1">
      <x v="6"/>
    </i>
    <i>
      <x v="4"/>
    </i>
    <i r="1">
      <x v="7"/>
    </i>
    <i>
      <x v="5"/>
    </i>
    <i r="1">
      <x v="8"/>
    </i>
    <i>
      <x v="6"/>
    </i>
    <i r="1">
      <x v="9"/>
    </i>
    <i>
      <x v="7"/>
    </i>
    <i r="1">
      <x v="10"/>
    </i>
    <i>
      <x v="8"/>
    </i>
    <i r="1">
      <x v="11"/>
    </i>
    <i>
      <x v="9"/>
    </i>
    <i r="1">
      <x/>
    </i>
    <i>
      <x v="10"/>
    </i>
    <i r="1">
      <x v="1"/>
    </i>
    <i>
      <x v="11"/>
    </i>
    <i r="1">
      <x v="2"/>
    </i>
    <i t="grand">
      <x/>
    </i>
  </rowItems>
  <colFields count="1">
    <field x="-2"/>
  </colFields>
  <colItems count="2">
    <i>
      <x/>
    </i>
    <i i="1">
      <x v="1"/>
    </i>
  </colItems>
  <dataFields count="2">
    <dataField name="Sonography" fld="3" baseField="1" baseItem="8"/>
    <dataField name="Sonography in Bodycheckup" fld="4" baseField="1" baseItem="8"/>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4B39962-E921-4545-AF3D-86CAFDCCD749}"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I28" firstHeaderRow="0" firstDataRow="1" firstDataCol="1"/>
  <pivotFields count="6">
    <pivotField showAll="0">
      <items count="6">
        <item x="0"/>
        <item x="1"/>
        <item x="2"/>
        <item x="3"/>
        <item x="4"/>
        <item t="default"/>
      </items>
    </pivotField>
    <pivotField axis="axisRow" showAll="0">
      <items count="13">
        <item x="9"/>
        <item x="10"/>
        <item x="11"/>
        <item x="0"/>
        <item x="1"/>
        <item x="2"/>
        <item x="3"/>
        <item x="4"/>
        <item x="5"/>
        <item x="6"/>
        <item x="7"/>
        <item x="8"/>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showAll="0"/>
  </pivotFields>
  <rowFields count="2">
    <field x="2"/>
    <field x="1"/>
  </rowFields>
  <rowItems count="25">
    <i>
      <x/>
    </i>
    <i r="1">
      <x v="3"/>
    </i>
    <i>
      <x v="1"/>
    </i>
    <i r="1">
      <x v="4"/>
    </i>
    <i>
      <x v="2"/>
    </i>
    <i r="1">
      <x v="5"/>
    </i>
    <i>
      <x v="3"/>
    </i>
    <i r="1">
      <x v="6"/>
    </i>
    <i>
      <x v="4"/>
    </i>
    <i r="1">
      <x v="7"/>
    </i>
    <i>
      <x v="5"/>
    </i>
    <i r="1">
      <x v="8"/>
    </i>
    <i>
      <x v="6"/>
    </i>
    <i r="1">
      <x v="9"/>
    </i>
    <i>
      <x v="7"/>
    </i>
    <i r="1">
      <x v="10"/>
    </i>
    <i>
      <x v="8"/>
    </i>
    <i r="1">
      <x v="11"/>
    </i>
    <i>
      <x v="9"/>
    </i>
    <i r="1">
      <x/>
    </i>
    <i>
      <x v="10"/>
    </i>
    <i r="1">
      <x v="1"/>
    </i>
    <i>
      <x v="11"/>
    </i>
    <i r="1">
      <x v="2"/>
    </i>
    <i t="grand">
      <x/>
    </i>
  </rowItems>
  <colFields count="1">
    <field x="-2"/>
  </colFields>
  <colItems count="2">
    <i>
      <x/>
    </i>
    <i i="1">
      <x v="1"/>
    </i>
  </colItems>
  <dataFields count="2">
    <dataField name="Xray" fld="3" baseField="1" baseItem="10"/>
    <dataField name="Xray in Bodycheckup" fld="4" baseField="1" baseItem="1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FFBCDFF-E6F1-45AD-BC5B-6AD5C95FB7F9}"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C8" firstHeaderRow="0" firstDataRow="1" firstDataCol="1"/>
  <pivotFields count="6">
    <pivotField axis="axisRow"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dataField="1" showAll="0"/>
    <pivotField dataField="1" showAll="0"/>
    <pivotField showAll="0"/>
  </pivotFields>
  <rowFields count="1">
    <field x="0"/>
  </rowFields>
  <rowItems count="6">
    <i>
      <x/>
    </i>
    <i>
      <x v="1"/>
    </i>
    <i>
      <x v="2"/>
    </i>
    <i>
      <x v="3"/>
    </i>
    <i>
      <x v="4"/>
    </i>
    <i t="grand">
      <x/>
    </i>
  </rowItems>
  <colFields count="1">
    <field x="-2"/>
  </colFields>
  <colItems count="2">
    <i>
      <x/>
    </i>
    <i i="1">
      <x v="1"/>
    </i>
  </colItems>
  <dataFields count="2">
    <dataField name="Xray" fld="3" baseField="0" baseItem="0"/>
    <dataField name="Xray in Bodycheckup" fld="4"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025A9BF-F2B5-4479-A42A-5FD942EFD5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4:B47" firstHeaderRow="1" firstDataRow="1" firstDataCol="1"/>
  <pivotFields count="3">
    <pivotField showAll="0">
      <items count="6">
        <item x="0"/>
        <item x="1"/>
        <item x="2"/>
        <item x="3"/>
        <item x="4"/>
        <item t="default"/>
      </items>
    </pivotField>
    <pivotField axis="axisRow" showAll="0">
      <items count="5">
        <item m="1" x="2"/>
        <item m="1" x="3"/>
        <item x="0"/>
        <item x="1"/>
        <item t="default"/>
      </items>
    </pivotField>
    <pivotField dataField="1" showAll="0"/>
  </pivotFields>
  <rowFields count="1">
    <field x="1"/>
  </rowFields>
  <rowItems count="3">
    <i>
      <x v="2"/>
    </i>
    <i>
      <x v="3"/>
    </i>
    <i t="grand">
      <x/>
    </i>
  </rowItems>
  <colItems count="1">
    <i/>
  </colItems>
  <dataFields count="1">
    <dataField name="Sum of total" fld="2"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3"/>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E712282-387B-4307-96AB-024E2D107CA7}" sourceName="Year ">
  <pivotTables>
    <pivotTable tabId="9" name="PivotTable2"/>
    <pivotTable tabId="9" name="PivotTable1"/>
  </pivotTables>
  <data>
    <tabular pivotCacheId="895914305">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ED2764D-3F25-438E-A1A9-F6ACE356B8BA}" sourceName="Month">
  <pivotTables>
    <pivotTable tabId="9" name="PivotTable1"/>
    <pivotTable tabId="9" name="PivotTable2"/>
  </pivotTables>
  <data>
    <tabular pivotCacheId="895914305">
      <items count="12">
        <i x="9" s="1"/>
        <i x="10" s="1"/>
        <i x="11" s="1"/>
        <i x="0" s="1"/>
        <i x="1" s="1"/>
        <i x="2" s="1"/>
        <i x="3" s="1"/>
        <i x="4" s="1"/>
        <i x="5" s="1"/>
        <i x="6"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708263F1-77FE-42D1-9CD5-D5DB63A4ACBE}" sourceName="Year ">
  <pivotTables>
    <pivotTable tabId="12" name="PivotTable1"/>
    <pivotTable tabId="12" name="PivotTable2"/>
  </pivotTables>
  <data>
    <tabular pivotCacheId="832737070">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B8A6EE13-66CF-4EAE-86CA-27045F919CD1}" sourceName="Month">
  <pivotTables>
    <pivotTable tabId="12" name="PivotTable1"/>
    <pivotTable tabId="12" name="PivotTable2"/>
  </pivotTables>
  <data>
    <tabular pivotCacheId="832737070">
      <items count="12">
        <i x="9" s="1"/>
        <i x="10" s="1"/>
        <i x="11" s="1"/>
        <i x="0" s="1"/>
        <i x="1" s="1"/>
        <i x="2" s="1"/>
        <i x="3" s="1"/>
        <i x="4" s="1"/>
        <i x="5" s="1"/>
        <i x="6" s="1"/>
        <i x="7"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123AA8D0-2705-46A1-80C6-849B1FD1DB0F}" sourceName="year">
  <pivotTables>
    <pivotTable tabId="9" name="PivotTable4"/>
  </pivotTables>
  <data>
    <tabular pivotCacheId="1123910974">
      <items count="5">
        <i x="0" s="1"/>
        <i x="1" s="1"/>
        <i x="2"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4" xr10:uid="{758676B7-751B-47AF-AFA9-761C01C0FBC6}" sourceName="year">
  <pivotTables>
    <pivotTable tabId="12" name="PivotTable5"/>
  </pivotTables>
  <data>
    <tabular pivotCacheId="344484159">
      <items count="5">
        <i x="0" s="1"/>
        <i x="1" s="1"/>
        <i x="2" s="1"/>
        <i x="3"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5" xr10:uid="{63214958-C811-4423-9A30-DAAB9C5E3EA1}" sourceName="Year ">
  <pivotTables>
    <pivotTable tabId="15" name="PivotTable15"/>
    <pivotTable tabId="15" name="PivotTable16"/>
  </pivotTables>
  <data>
    <tabular pivotCacheId="882546935">
      <items count="5">
        <i x="0" s="1"/>
        <i x="1" s="1"/>
        <i x="2" s="1"/>
        <i x="3"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D44960F1-500A-4A59-ADF9-20BAA85B2506}" sourceName="Month">
  <pivotTables>
    <pivotTable tabId="15" name="PivotTable16"/>
    <pivotTable tabId="15" name="PivotTable15"/>
  </pivotTables>
  <data>
    <tabular pivotCacheId="882546935">
      <items count="12">
        <i x="9" s="1"/>
        <i x="10" s="1"/>
        <i x="11" s="1"/>
        <i x="0" s="1"/>
        <i x="1" s="1"/>
        <i x="2" s="1"/>
        <i x="3" s="1"/>
        <i x="4" s="1"/>
        <i x="5" s="1"/>
        <i x="6" s="1"/>
        <i x="7" s="1"/>
        <i x="8"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6" xr10:uid="{FF69D6E4-6E2C-4A59-A178-993FBA2FB104}" sourceName="year">
  <pivotTables>
    <pivotTable tabId="15" name="PivotTable19"/>
  </pivotTables>
  <data>
    <tabular pivotCacheId="594452771">
      <items count="5">
        <i x="0" s="1"/>
        <i x="1" s="1"/>
        <i x="2" s="1"/>
        <i x="3" s="1"/>
        <i x="4"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7" xr10:uid="{6CE6562C-79D5-4AC2-927F-AD664E5E8ED1}" sourceName="year">
  <pivotTables>
    <pivotTable tabId="18" name="PivotTable22"/>
  </pivotTables>
  <data>
    <tabular pivotCacheId="1492587914">
      <items count="5">
        <i x="0" s="1"/>
        <i x="1" s="1"/>
        <i x="2" s="1"/>
        <i x="3" s="1"/>
        <i x="4"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8" xr10:uid="{190F178D-8920-4164-8E7E-74A2EAD40550}" sourceName="Year ">
  <pivotTables>
    <pivotTable tabId="18" name="PivotTable20"/>
    <pivotTable tabId="18" name="PivotTable21"/>
  </pivotTables>
  <data>
    <tabular pivotCacheId="319337466">
      <items count="5">
        <i x="0" s="1"/>
        <i x="1" s="1"/>
        <i x="2" s="1"/>
        <i x="3" s="1"/>
        <i x="4"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4" xr10:uid="{C100440D-AD58-4D9D-9FE2-32B2AB28E60D}" sourceName="Month">
  <pivotTables>
    <pivotTable tabId="18" name="PivotTable21"/>
    <pivotTable tabId="18" name="PivotTable20"/>
  </pivotTables>
  <data>
    <tabular pivotCacheId="319337466">
      <items count="12">
        <i x="9" s="1"/>
        <i x="10" s="1"/>
        <i x="11" s="1"/>
        <i x="0" s="1"/>
        <i x="1" s="1"/>
        <i x="2" s="1"/>
        <i x="3" s="1"/>
        <i x="4" s="1"/>
        <i x="5" s="1"/>
        <i x="6" s="1"/>
        <i x="7" s="1"/>
        <i x="8"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9" xr10:uid="{3FC1AC5B-8A48-4AA6-AFD2-3291DCA2A8C8}" sourceName="year">
  <pivotTables>
    <pivotTable tabId="21" name="PivotTable25"/>
  </pivotTables>
  <data>
    <tabular pivotCacheId="1942532812">
      <items count="5">
        <i x="0" s="1"/>
        <i x="1" s="1"/>
        <i x="2" s="1"/>
        <i x="3" s="1"/>
        <i x="4"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0" xr10:uid="{B21C250C-6973-4897-BD5B-9125617337C2}" sourceName="Year ">
  <pivotTables>
    <pivotTable tabId="21" name="PivotTable23"/>
    <pivotTable tabId="21" name="PivotTable24"/>
  </pivotTables>
  <data>
    <tabular pivotCacheId="668099193">
      <items count="5">
        <i x="0" s="1"/>
        <i x="1" s="1"/>
        <i x="2" s="1"/>
        <i x="3" s="1"/>
        <i x="4"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5" xr10:uid="{F3F743BF-3ABA-42EE-B700-ADDC5E739A67}" sourceName="Month">
  <pivotTables>
    <pivotTable tabId="21" name="PivotTable24"/>
    <pivotTable tabId="21" name="PivotTable23"/>
  </pivotTables>
  <data>
    <tabular pivotCacheId="668099193">
      <items count="12">
        <i x="9" s="1"/>
        <i x="10" s="1"/>
        <i x="11" s="1"/>
        <i x="0" s="1"/>
        <i x="1" s="1"/>
        <i x="2" s="1"/>
        <i x="3" s="1"/>
        <i x="4" s="1"/>
        <i x="5" s="1"/>
        <i x="6" s="1"/>
        <i x="7" s="1"/>
        <i x="8"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1" xr10:uid="{2F88017A-4024-44E7-AFCB-F3CDD4F435DA}" sourceName="year">
  <pivotTables>
    <pivotTable tabId="26" name="PivotTable4"/>
  </pivotTables>
  <data>
    <tabular pivotCacheId="1742146135">
      <items count="5">
        <i x="0" s="1"/>
        <i x="1" s="1"/>
        <i x="2" s="1"/>
        <i x="3" s="1"/>
        <i x="4"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2" xr10:uid="{CC1C6F1A-4720-417A-A09C-E64752899EF1}" sourceName="Year ">
  <pivotTables>
    <pivotTable tabId="26" name="PivotTable1"/>
    <pivotTable tabId="26" name="PivotTable2"/>
  </pivotTables>
  <data>
    <tabular pivotCacheId="759465886">
      <items count="5">
        <i x="0" s="1"/>
        <i x="1" s="1"/>
        <i x="2" s="1"/>
        <i x="3" s="1"/>
        <i x="4"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6" xr10:uid="{A7775191-C574-4077-A99A-E03325D874D0}" sourceName="Month">
  <pivotTables>
    <pivotTable tabId="26" name="PivotTable2"/>
    <pivotTable tabId="26" name="PivotTable1"/>
  </pivotTables>
  <data>
    <tabular pivotCacheId="759465886">
      <items count="12">
        <i x="9" s="1"/>
        <i x="10" s="1"/>
        <i x="11" s="1"/>
        <i x="0" s="1"/>
        <i x="1" s="1"/>
        <i x="2" s="1"/>
        <i x="3" s="1"/>
        <i x="4" s="1"/>
        <i x="5" s="1"/>
        <i x="6" s="1"/>
        <i x="7" s="1"/>
        <i x="8"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3" xr10:uid="{5078B0F5-B8F7-45F5-B62A-82545363721D}" sourceName="Year ">
  <pivotTables>
    <pivotTable tabId="29" name="PivotTable5"/>
    <pivotTable tabId="29" name="PivotTable6"/>
  </pivotTables>
  <data>
    <tabular pivotCacheId="1156814978">
      <items count="5">
        <i x="0" s="1"/>
        <i x="1" s="1"/>
        <i x="2" s="1"/>
        <i x="3" s="1"/>
        <i x="4"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7" xr10:uid="{B02D8195-E96C-4EB4-9EDD-C4600B24C5B7}" sourceName="Month">
  <pivotTables>
    <pivotTable tabId="29" name="PivotTable6"/>
    <pivotTable tabId="29" name="PivotTable5"/>
  </pivotTables>
  <data>
    <tabular pivotCacheId="1156814978">
      <items count="12">
        <i x="9" s="1"/>
        <i x="10" s="1"/>
        <i x="11" s="1"/>
        <i x="0" s="1"/>
        <i x="1" s="1"/>
        <i x="2" s="1"/>
        <i x="3" s="1"/>
        <i x="4" s="1"/>
        <i x="5" s="1"/>
        <i x="6" s="1"/>
        <i x="7" s="1"/>
        <i x="8"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4" xr10:uid="{D0746149-32A7-43AA-8DDB-593C90009409}" sourceName="year">
  <pivotTables>
    <pivotTable tabId="29" name="PivotTable7"/>
  </pivotTables>
  <data>
    <tabular pivotCacheId="1745581392">
      <items count="5">
        <i x="0" s="1"/>
        <i x="1" s="1"/>
        <i x="2" s="1"/>
        <i x="3" s="1"/>
        <i x="4"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5" xr10:uid="{BA2541B0-B4A5-438F-A8C0-FC0A32A31288}" sourceName="Year ">
  <pivotTables>
    <pivotTable tabId="31" name="PivotTable2"/>
    <pivotTable tabId="31" name="PivotTable3"/>
    <pivotTable tabId="31" name="PivotTable4"/>
  </pivotTables>
  <data>
    <tabular pivotCacheId="2124860487">
      <items count="5">
        <i x="0" s="1"/>
        <i x="1" s="1"/>
        <i x="2" s="1"/>
        <i x="3" s="1"/>
        <i x="4"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8" xr10:uid="{2546D639-71F7-4D4A-8C20-53A88C8B4938}" sourceName="Month">
  <pivotTables>
    <pivotTable tabId="31" name="PivotTable2"/>
    <pivotTable tabId="31" name="PivotTable3"/>
  </pivotTables>
  <data>
    <tabular pivotCacheId="2124860487">
      <items count="12">
        <i x="9" s="1"/>
        <i x="10" s="1"/>
        <i x="11" s="1"/>
        <i x="0" s="1"/>
        <i x="1" s="1"/>
        <i x="2" s="1"/>
        <i x="3" s="1"/>
        <i x="4" s="1"/>
        <i x="5" s="1"/>
        <i x="6" s="1"/>
        <i x="7" s="1"/>
        <i x="8"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1" xr10:uid="{8C43C10E-5EAE-420F-A6C9-896C409CD656}" sourceName="Service ">
  <pivotTables>
    <pivotTable tabId="31" name="PivotTable2"/>
    <pivotTable tabId="31" name="PivotTable3"/>
  </pivotTables>
  <data>
    <tabular pivotCacheId="2124860487">
      <items count="9">
        <i x="4" s="1"/>
        <i x="0" s="1"/>
        <i x="3" s="1"/>
        <i x="7" s="1"/>
        <i x="6" s="1"/>
        <i x="8"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xr10:uid="{BCB830D5-C565-4BC9-AE8D-5FB8D93A2F2A}" cache="Slicer_Year15" caption="Year " rowHeight="234950"/>
  <slicer name="Month" xr10:uid="{45E4BEC6-9470-4025-98E7-4CE14632C5FB}" cache="Slicer_Month8" caption="Month" startItem="5" rowHeight="234950"/>
  <slicer name="Service " xr10:uid="{3E8C27AD-B40D-41D0-AA56-752DD656A351}" cache="Slicer_Service1" caption="Service " startItem="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6" xr10:uid="{26BF7995-5E4B-412B-8DBF-67C96053AFEE}" cache="Slicer_Year15" caption="Year " rowHeight="216000"/>
  <slicer name="Month 16" xr10:uid="{C64EB159-0C63-4088-83BA-A106694A44A1}" cache="Slicer_Month8" caption="Month" rowHeight="360000"/>
  <slicer name="Service  2" xr10:uid="{D54CFE98-436B-40A1-B6D6-C2F8CDE7F0E6}" cache="Slicer_Service1" caption="Service " rowHeight="79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10D8DE2A-E95C-43FD-890B-EC9152CC4FD7}" cache="Slicer_Year5" caption="Year " rowHeight="180000"/>
  <slicer name="Month 6" xr10:uid="{B701AD74-4286-47A6-9B9A-990ED7203100}" cache="Slicer_Month3" caption="Month" rowHeight="216000"/>
  <slicer name="year 4" xr10:uid="{98173FA0-1640-4AD7-9A68-E386B5C0BAE3}" cache="Slicer_year6" caption="year" columnCount="5" rowHeight="23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7" xr10:uid="{2166AE39-B598-4BEF-BBCC-01727E90BCA2}" cache="Slicer_Year5" caption="Year " rowHeight="144000"/>
  <slicer name="Month 7" xr10:uid="{FCCAF65B-8BF0-4211-BE98-2EDBF45163CC}" cache="Slicer_Month3" caption="Month" rowHeight="180000"/>
  <slicer name="year 5" xr10:uid="{5DF4D7D2-3951-40D5-AB3A-A0F7B4B2504E}" cache="Slicer_year6" caption="Year" columnCount="5" rowHeight="234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23801CB8-DB2F-4962-968D-CDB6C4821EA6}" cache="Slicer_year7" caption="year" columnCount="5" rowHeight="234000"/>
  <slicer name="Year  8" xr10:uid="{600AB9FF-2103-4D06-BC9B-568B7B24294B}" cache="Slicer_Year8" caption="Year " rowHeight="234950"/>
  <slicer name="Month 8" xr10:uid="{3C0D9F87-1895-4020-BBE7-A516F39DE5A6}" cache="Slicer_Month4" caption="Month"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7" xr10:uid="{6626DB13-203E-4DF5-A3CB-C947EF427AF6}" cache="Slicer_year7" caption="year" columnCount="5" rowHeight="234000"/>
  <slicer name="Year  9" xr10:uid="{304F0CEB-B4F6-420B-B3C0-2C3BE58F68F1}" cache="Slicer_Year8" caption="Year " rowHeight="144000"/>
  <slicer name="Month 9" xr10:uid="{DCB92568-48C7-4A8A-9A5E-CF3AC52D73C6}" cache="Slicer_Month4" caption="Month" rowHeight="1800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8" xr10:uid="{975CA1BF-828F-42DE-BE26-1769233D526C}" cache="Slicer_year9" caption="year" rowHeight="234950"/>
  <slicer name="Year  10" xr10:uid="{AF2FF076-1F45-4AD6-BF11-83432583D283}" cache="Slicer_Year10" caption="Year " rowHeight="234950"/>
  <slicer name="Month 10" xr10:uid="{BDE9AB54-EC90-46B1-9DA9-52A0FC888CF7}" cache="Slicer_Month5" caption="Month"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9" xr10:uid="{91BC3138-08E6-44E2-957A-F395B4824771}" cache="Slicer_year9" caption="year" columnCount="5" rowHeight="234950"/>
  <slicer name="Year  11" xr10:uid="{35AE0F4F-1B7A-4D6D-A52B-0FBA5E2F4662}" cache="Slicer_Year10" caption="Year " rowHeight="144000"/>
  <slicer name="Month 11" xr10:uid="{BE96A13F-313C-4D9F-8EF8-BA8AFF733752}" cache="Slicer_Month5" caption="Month" rowHeight="1800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DE5A384-96A2-4E53-BE83-20ADC6740DE5}" cache="Slicer_Year" caption="Year " rowHeight="234950"/>
  <slicer name="Month 2" xr10:uid="{89A4C0C6-8D48-4EAB-AABD-616C326BBFF0}" cache="Slicer_Month1" caption="Month" rowHeight="234950"/>
  <slicer name="year" xr10:uid="{A2F9A4E6-B836-460B-8C32-F26557385B80}" cache="Slicer_year3" caption="year" rowHeight="2349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46C4B228-6489-428C-BCB9-9044885F8AF2}" cache="Slicer_Year" caption="Year " rowHeight="144000"/>
  <slicer name="Month 3" xr10:uid="{893F4545-A578-4626-B3F5-000F9E70ADD0}" cache="Slicer_Month1" caption="Month" rowHeight="180000"/>
  <slicer name="year 1" xr10:uid="{9122A50D-3208-42C1-9749-1AD071DD77E2}" cache="Slicer_year3" caption="year" columnCount="5" rowHeight="23495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EC1A9C09-8F68-4582-8D49-181A37F127BE}" cache="Slicer_Year2" caption="Year " rowHeight="234950"/>
  <slicer name="Month 4" xr10:uid="{A9DE2C03-875B-4706-B2B6-A1112E8BFE72}" cache="Slicer_Month2" caption="Month" rowHeight="234950"/>
  <slicer name="year 2" xr10:uid="{AFDE3103-4FBB-4AA9-B06A-91EDE8F7FD23}" cache="Slicer_year4" caption="year" columnCount="5" rowHeight="23495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21FA6625-6221-46B0-972E-EB42E0D1D66A}" cache="Slicer_Year2" caption="Year " rowHeight="144000"/>
  <slicer name="Month 5" xr10:uid="{98D284FF-E950-4B99-BF0C-A4BAF2AB70ED}" cache="Slicer_Month2" caption="Month" rowHeight="180000"/>
  <slicer name="year 3" xr10:uid="{E13A147F-DE3C-497B-945C-C0D1BBFB7971}" cache="Slicer_year4" caption="year" columnCount="5" rowHeight="23495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0" xr10:uid="{B4BAAD64-BE3C-42F5-8273-ACD2CF7BDDF9}" cache="Slicer_year11" caption="year" rowHeight="234950"/>
  <slicer name="Year  12" xr10:uid="{01880D83-AC06-47D9-BD11-D7C5B063E017}" cache="Slicer_Year12" caption="Year " rowHeight="234950"/>
  <slicer name="Month 12" xr10:uid="{E4CB3810-1DF1-4F66-97F0-0836C2902ED4}" cache="Slicer_Month6" caption="Month" rowHeight="234950"/>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1" xr10:uid="{BBBC5FF8-BCD2-42A5-B34F-33535ADB1B79}" cache="Slicer_year11" caption="year" columnCount="5" rowHeight="234950"/>
  <slicer name="Year  13" xr10:uid="{AFE19153-D183-44C9-9F4C-D9FD5B59F729}" cache="Slicer_Year12" caption="Year " rowHeight="144000"/>
  <slicer name="Month 13" xr10:uid="{47A9B4D4-15AB-4CAB-A4A0-C790D2B4FE12}" cache="Slicer_Month6" caption="Month" rowHeight="180000"/>
</slicers>
</file>

<file path=xl/slicers/slicer1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4" xr10:uid="{2C3067D8-4B30-4184-AA56-44718D56F2ED}" cache="Slicer_Year13" caption="Year " rowHeight="234950"/>
  <slicer name="Month 14" xr10:uid="{BFDB7EF0-94C0-4D79-811F-2B8D71208D72}" cache="Slicer_Month7" caption="Month" rowHeight="234950"/>
  <slicer name="year 12" xr10:uid="{4B3E548F-6640-41F3-8D14-7DC68ED61326}" cache="Slicer_year14" caption="year" rowHeight="234950"/>
</slicers>
</file>

<file path=xl/slicers/slicer1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5" xr10:uid="{D4A91656-0488-4463-91B6-A6430725BBB5}" cache="Slicer_Year13" caption="Year " rowHeight="144000"/>
  <slicer name="Month 15" xr10:uid="{08735A15-D1D1-41F8-9180-47F35F42D630}" cache="Slicer_Month7" caption="Month" rowHeight="180000"/>
  <slicer name="year 13" xr10:uid="{C7D8A6B8-2815-40AF-B742-383B35DEAB4E}" cache="Slicer_year14" caption="year"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O49:O57" totalsRowShown="0" headerRowDxfId="49" dataDxfId="48" tableBorderDxfId="47">
  <autoFilter ref="O49:O57" xr:uid="{00000000-0009-0000-0100-000002000000}"/>
  <tableColumns count="1">
    <tableColumn id="1" xr3:uid="{00000000-0010-0000-0000-000001000000}" name="service" dataDxfId="4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E541" totalsRowShown="0" headerRowDxfId="45">
  <autoFilter ref="A1:E541" xr:uid="{00000000-0009-0000-0100-000003000000}"/>
  <tableColumns count="5">
    <tableColumn id="1" xr3:uid="{00000000-0010-0000-0100-000001000000}" name="Year "/>
    <tableColumn id="2" xr3:uid="{00000000-0010-0000-0100-000002000000}" name="Month" dataDxfId="44"/>
    <tableColumn id="3" xr3:uid="{00000000-0010-0000-0100-000003000000}" name="Month Num"/>
    <tableColumn id="4" xr3:uid="{00000000-0010-0000-0100-000004000000}" name="Service " dataDxfId="43"/>
    <tableColumn id="5" xr3:uid="{00000000-0010-0000-0100-000005000000}" name="Count" dataDxfId="4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6683FF3-567C-4137-9F98-6D0DC0FE9048}" name="Table7912" displayName="Table7912" ref="B28:D38" totalsRowShown="0">
  <autoFilter ref="B28:D38" xr:uid="{06683FF3-567C-4137-9F98-6D0DC0FE9048}"/>
  <tableColumns count="3">
    <tableColumn id="1" xr3:uid="{C1596492-F99D-4131-BAC2-6DBF73433E23}" name="year" dataDxfId="41"/>
    <tableColumn id="2" xr3:uid="{6384026F-BFEC-4E38-8642-2F5C3C7E700B}" name="type"/>
    <tableColumn id="3" xr3:uid="{C936A517-BEE4-4589-900C-FF516EE61D1A}" name="total"/>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A446322-40E7-41C1-8FD7-A5D7FE20CF8B}" name="Table9" displayName="Table9" ref="A1:G61" totalsRowShown="0" headerRowDxfId="40">
  <autoFilter ref="A1:G61" xr:uid="{CA446322-40E7-41C1-8FD7-A5D7FE20CF8B}"/>
  <tableColumns count="7">
    <tableColumn id="1" xr3:uid="{22974723-EB01-459C-B0A8-3419B6519FD0}" name="Year " dataDxfId="39"/>
    <tableColumn id="2" xr3:uid="{E4B1F9CA-E922-46AC-994C-ADD3248536EA}" name="Month" dataDxfId="38"/>
    <tableColumn id="3" xr3:uid="{387ADDB0-E303-4CEC-B8C6-851209839A5B}" name="Month Num" dataDxfId="37"/>
    <tableColumn id="4" xr3:uid="{1AA29E6F-7152-4530-AF8C-63E71EA3D080}" name="Service " dataDxfId="36"/>
    <tableColumn id="5" xr3:uid="{9EE633FD-4FE2-4215-A15F-B0150D3BBF33}" name="Count " dataDxfId="35"/>
    <tableColumn id="6" xr3:uid="{8F9CE53A-445A-4935-B3D4-3F4E3BB3D471}" name="kjss" dataDxfId="34"/>
    <tableColumn id="7" xr3:uid="{9F9A5B15-0D28-46C4-A93D-C4A7A03E5401}" name="non kjss" dataDxfId="33">
      <calculatedColumnFormula>E2-F2</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2B22970-021E-434B-A5B0-53519A79B871}" name="Table791213" displayName="Table791213" ref="C44:E54" totalsRowShown="0">
  <autoFilter ref="C44:E54" xr:uid="{E2B22970-021E-434B-A5B0-53519A79B871}"/>
  <tableColumns count="3">
    <tableColumn id="1" xr3:uid="{5E1B632C-6EFF-4FBD-99DB-34056D6F314F}" name="year" dataDxfId="32" totalsRowDxfId="31"/>
    <tableColumn id="2" xr3:uid="{7BB9EB1B-DDB7-43AB-BE66-E5D6886E8C04}" name="type"/>
    <tableColumn id="3" xr3:uid="{813019E3-0C76-435E-9FD6-1F98FCB0E545}" name="total"/>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E415287-9F41-4BD2-980A-A780675A3224}" name="Table79121314" displayName="Table79121314" ref="F31:H41" totalsRowShown="0">
  <autoFilter ref="F31:H41" xr:uid="{0E415287-9F41-4BD2-980A-A780675A3224}"/>
  <tableColumns count="3">
    <tableColumn id="1" xr3:uid="{6A7680E8-1E77-4D8E-830B-CDC45F12FDCD}" name="year" dataDxfId="30" totalsRowDxfId="29"/>
    <tableColumn id="2" xr3:uid="{BE07CD38-5BC0-4999-A215-976F7FB64997}" name="type"/>
    <tableColumn id="3" xr3:uid="{91F9B8FA-E954-4077-B8AC-363EEF7EE6BC}" name="total"/>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0B09F6-E575-48A7-B0C5-E96522B2D9F1}" name="Table6" displayName="Table6" ref="A1:G61" totalsRowShown="0" headerRowDxfId="28">
  <autoFilter ref="A1:G61" xr:uid="{DD0B09F6-E575-48A7-B0C5-E96522B2D9F1}"/>
  <tableColumns count="7">
    <tableColumn id="1" xr3:uid="{692DF898-5669-4255-99DC-242445141BB7}" name="Year " dataDxfId="27"/>
    <tableColumn id="2" xr3:uid="{9CA77890-9B5B-493A-84FD-F7E152CB944B}" name="Month" dataDxfId="26"/>
    <tableColumn id="3" xr3:uid="{E09E23D0-B433-4395-A28A-F528EED54702}" name="Month Num" dataDxfId="25"/>
    <tableColumn id="4" xr3:uid="{1DC0AC0B-8FBF-4130-8913-715A5CF1DE8E}" name="Service " dataDxfId="24"/>
    <tableColumn id="5" xr3:uid="{DFA08B99-E034-4828-96B6-CE6AAD40AFDC}" name="Count " dataDxfId="23"/>
    <tableColumn id="6" xr3:uid="{DEDC60A5-224F-466B-9386-6AA356EDBA7F}" name="kjss" dataDxfId="22"/>
    <tableColumn id="7" xr3:uid="{75414132-984E-40A0-98BD-5DDD9EC6A80B}" name="non kjss" dataDxfId="21">
      <calculatedColumnFormula>Table6[[#This Row],[Count ]]-Table6[[#This Row],[kjss]]</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CC319FF-38BE-4708-8C00-DCCA65AD394F}" name="Table7" displayName="Table7" ref="A38:C48" totalsRowShown="0">
  <autoFilter ref="A38:C48" xr:uid="{BCC319FF-38BE-4708-8C00-DCCA65AD394F}"/>
  <tableColumns count="3">
    <tableColumn id="1" xr3:uid="{0FF1595E-DBFE-4D3C-8EF4-37309593BADE}" name="year" dataDxfId="20"/>
    <tableColumn id="2" xr3:uid="{D3862DC7-08F9-4A15-8330-96277F55B2CA}" name="type"/>
    <tableColumn id="3" xr3:uid="{6885F169-F51F-4C62-BEE1-AEF474B98E4F}" name="total"/>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9CC3EB-389F-4914-AFC3-29A3126AB6E8}" name="Table1" displayName="Table1" ref="A1:G61" totalsRowShown="0" headerRowDxfId="19" headerRowBorderDxfId="18">
  <autoFilter ref="A1:G61" xr:uid="{8E9CC3EB-389F-4914-AFC3-29A3126AB6E8}"/>
  <tableColumns count="7">
    <tableColumn id="1" xr3:uid="{A47D4AF1-19E3-4919-BE54-B676EEC8707C}" name="Year " dataDxfId="17"/>
    <tableColumn id="2" xr3:uid="{3E03F0A2-993E-49D1-92DD-D8B101E450E5}" name="Month" dataDxfId="16"/>
    <tableColumn id="3" xr3:uid="{2B6190DA-8636-47D6-8F3A-1F424341067E}" name="Month Num" dataDxfId="15"/>
    <tableColumn id="4" xr3:uid="{BC12A123-F34B-4F6B-B655-376E205741E2}" name="Service " dataDxfId="14"/>
    <tableColumn id="5" xr3:uid="{1BD80D67-38AA-414F-BBF3-0FFF3B65A93E}" name="Count "/>
    <tableColumn id="6" xr3:uid="{15856884-777C-4103-86F0-A910FB6AAE39}" name="kjss" dataDxfId="13"/>
    <tableColumn id="7" xr3:uid="{199939B6-2117-4EF6-9491-79D07282D001}" name="non kjss" dataDxfId="12">
      <calculatedColumnFormula>E2-F2</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91BCCC-5B7C-44A0-99B6-892D3FBA084C}" name="Table5" displayName="Table5" ref="A25:B27" totalsRowShown="0">
  <autoFilter ref="A25:B27" xr:uid="{4B91BCCC-5B7C-44A0-99B6-892D3FBA084C}"/>
  <tableColumns count="2">
    <tableColumn id="1" xr3:uid="{05B5AFCB-DA5E-4205-9F06-07DB53D3A933}" name="Type"/>
    <tableColumn id="2" xr3:uid="{CE74B1AA-A0DC-4773-8EA9-006AF927F94A}" name="Count"/>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3CD2555-A6F2-4AF0-894C-7BAEA1FE834D}" name="Table79" displayName="Table79" ref="A30:C40" totalsRowShown="0">
  <autoFilter ref="A30:C40" xr:uid="{D3CD2555-A6F2-4AF0-894C-7BAEA1FE834D}"/>
  <tableColumns count="3">
    <tableColumn id="1" xr3:uid="{79A2887D-509C-4708-9827-CFAECB12FADD}" name="year" dataDxfId="11"/>
    <tableColumn id="2" xr3:uid="{87BD23D4-486F-4BF5-9952-8BF17D605F77}" name="type"/>
    <tableColumn id="3" xr3:uid="{3021B268-9C02-44EF-8D3B-3EDEDF9FA693}" name="total"/>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F630BE8-5068-49C8-AC09-5925B95E7912}" name="Table411" displayName="Table411" ref="A1:F61" totalsRowShown="0" headerRowDxfId="10">
  <autoFilter ref="A1:F61" xr:uid="{BF630BE8-5068-49C8-AC09-5925B95E7912}"/>
  <tableColumns count="6">
    <tableColumn id="1" xr3:uid="{FD691B6A-4F89-47E8-9B73-A0CE306B1DF6}" name="Year " dataDxfId="9"/>
    <tableColumn id="2" xr3:uid="{FB17FBC9-9F00-4FCB-8A36-D6EFE3CFAF2E}" name="Month"/>
    <tableColumn id="3" xr3:uid="{FD372293-4939-4C57-B344-DCEEC8A24777}" name="Month Num"/>
    <tableColumn id="4" xr3:uid="{886C1D46-1D39-4CAE-BC76-4DBEBDE31ADC}" name="Specific" dataDxfId="8"/>
    <tableColumn id="5" xr3:uid="{4366517D-7FE7-4757-BAF8-1C482DB3E8CC}" name="Bodycheckup_Sonography"/>
    <tableColumn id="6" xr3:uid="{94453360-AF34-4138-8866-0560EAD71DCB}" name="Total">
      <calculatedColumnFormula>D2+E2</calculatedColumnFormula>
    </tableColum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6F98451-FCA8-4101-AC2E-C431DD8FFDB2}" name="Table716" displayName="Table716" ref="A48:C58" totalsRowShown="0">
  <autoFilter ref="A48:C58" xr:uid="{56F98451-FCA8-4101-AC2E-C431DD8FFDB2}"/>
  <tableColumns count="3">
    <tableColumn id="1" xr3:uid="{64CBE310-9745-4C35-9B84-307FE90FC223}" name="year" dataDxfId="7"/>
    <tableColumn id="2" xr3:uid="{AE007D6A-C65D-41FE-BBA5-D570C36BBF47}" name="type"/>
    <tableColumn id="3" xr3:uid="{A078A006-1CC9-4D0A-B942-E566274D36F3}" name="total"/>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8440C9D-D373-416A-9AE6-0997B9AF6DB2}" name="Table515" displayName="Table515" ref="A1:F61" totalsRowShown="0" headerRowDxfId="6" headerRowBorderDxfId="5">
  <autoFilter ref="A1:F61" xr:uid="{28440C9D-D373-416A-9AE6-0997B9AF6DB2}"/>
  <tableColumns count="6">
    <tableColumn id="1" xr3:uid="{D671F99B-1234-4427-B525-2EFC06A220EE}" name="Year " dataDxfId="4"/>
    <tableColumn id="2" xr3:uid="{C587D9F8-80D1-437D-8F4A-811BD18E7A21}" name="Month" dataDxfId="3"/>
    <tableColumn id="3" xr3:uid="{58DB6C27-8D32-46A4-834C-887E781CB026}" name="Month Num" dataDxfId="2"/>
    <tableColumn id="4" xr3:uid="{ACF8ED57-6D1D-4B43-9C69-049029AB3B85}" name="Specific" dataDxfId="1"/>
    <tableColumn id="5" xr3:uid="{1F1961AF-FD1F-4CFB-B4E4-41AC4E462078}" name="Bodycheckup_Xray"/>
    <tableColumn id="6" xr3:uid="{3D5A1C14-D8CB-4484-8DCF-5C9F54B1CE0B}" name="Total">
      <calculatedColumnFormula>D2+E2</calculatedColumnFormula>
    </tableColumn>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B542FC6-6FF4-49BA-8422-75C041B818C7}" name="Table71617" displayName="Table71617" ref="A31:C41" totalsRowShown="0">
  <autoFilter ref="A31:C41" xr:uid="{6B542FC6-6FF4-49BA-8422-75C041B818C7}"/>
  <tableColumns count="3">
    <tableColumn id="1" xr3:uid="{D99CA64D-6A7C-4062-A712-61E6245DE77F}" name="year" dataDxfId="0"/>
    <tableColumn id="2" xr3:uid="{7927BB8E-6291-457A-AE1E-A2E549D78178}" name="type"/>
    <tableColumn id="3" xr3:uid="{4887E990-FFB8-4B48-BDFA-96472F3C023A}" name="total"/>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3.xml"/><Relationship Id="rId5" Type="http://schemas.openxmlformats.org/officeDocument/2006/relationships/table" Target="../tables/table3.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5.xml"/><Relationship Id="rId5" Type="http://schemas.openxmlformats.org/officeDocument/2006/relationships/table" Target="../tables/table5.xml"/><Relationship Id="rId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microsoft.com/office/2007/relationships/slicer" Target="../slicers/slicer7.xml"/><Relationship Id="rId5" Type="http://schemas.openxmlformats.org/officeDocument/2006/relationships/table" Target="../tables/table6.xml"/><Relationship Id="rId4"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9.xml"/><Relationship Id="rId5" Type="http://schemas.openxmlformats.org/officeDocument/2006/relationships/table" Target="../tables/table8.xml"/><Relationship Id="rId4"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2" Type="http://schemas.microsoft.com/office/2007/relationships/slicer" Target="../slicers/slicer10.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microsoft.com/office/2007/relationships/slicer" Target="../slicers/slicer11.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2" Type="http://schemas.microsoft.com/office/2007/relationships/slicer" Target="../slicers/slicer12.xml"/><Relationship Id="rId1" Type="http://schemas.openxmlformats.org/officeDocument/2006/relationships/drawing" Target="../drawings/drawing1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1.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microsoft.com/office/2007/relationships/slicer" Target="../slicers/slicer13.xml"/><Relationship Id="rId5" Type="http://schemas.openxmlformats.org/officeDocument/2006/relationships/table" Target="../tables/table13.x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microsoft.com/office/2007/relationships/slicer" Target="../slicers/slicer14.xml"/><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microsoft.com/office/2007/relationships/slicer" Target="../slicers/slicer15.xml"/><Relationship Id="rId5" Type="http://schemas.openxmlformats.org/officeDocument/2006/relationships/table" Target="../tables/table15.xml"/><Relationship Id="rId4"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2" Type="http://schemas.microsoft.com/office/2007/relationships/slicer" Target="../slicers/slicer16.xml"/><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7"/>
  <sheetViews>
    <sheetView zoomScale="85" zoomScaleNormal="85" workbookViewId="0">
      <selection activeCell="T53" sqref="T53"/>
    </sheetView>
  </sheetViews>
  <sheetFormatPr defaultRowHeight="14.4" x14ac:dyDescent="0.3"/>
  <cols>
    <col min="1" max="1" width="10.88671875" customWidth="1"/>
    <col min="2" max="2" width="13.5546875" customWidth="1"/>
    <col min="3" max="3" width="11.44140625" customWidth="1"/>
    <col min="4" max="4" width="7.88671875" customWidth="1"/>
    <col min="5" max="5" width="4.88671875" customWidth="1"/>
    <col min="6" max="6" width="6.88671875" customWidth="1"/>
    <col min="7" max="7" width="5.5546875" customWidth="1"/>
    <col min="8" max="8" width="6.6640625" customWidth="1"/>
    <col min="9" max="9" width="8.109375" customWidth="1"/>
    <col min="10" max="10" width="13.6640625" customWidth="1"/>
    <col min="11" max="11" width="11.5546875" customWidth="1"/>
    <col min="12" max="12" width="9.109375" customWidth="1"/>
    <col min="13" max="13" width="10.88671875" customWidth="1"/>
    <col min="14" max="14" width="13.5546875" customWidth="1"/>
    <col min="15" max="15" width="11.44140625" customWidth="1"/>
    <col min="16" max="16" width="7.6640625" customWidth="1"/>
    <col min="17" max="17" width="4.88671875" customWidth="1"/>
    <col min="18" max="18" width="6.88671875" customWidth="1"/>
    <col min="19" max="19" width="5.5546875" customWidth="1"/>
    <col min="20" max="20" width="6.6640625" customWidth="1"/>
    <col min="21" max="21" width="8.109375" customWidth="1"/>
  </cols>
  <sheetData>
    <row r="1" spans="1:22" x14ac:dyDescent="0.3">
      <c r="A1" s="59" t="s">
        <v>22</v>
      </c>
      <c r="B1" s="59"/>
      <c r="C1" s="59"/>
      <c r="D1" s="59"/>
      <c r="E1" s="59"/>
      <c r="F1" s="59"/>
      <c r="G1" s="59"/>
      <c r="H1" s="59"/>
      <c r="I1" s="59"/>
      <c r="J1" s="1"/>
      <c r="K1" s="3"/>
      <c r="L1" s="3"/>
      <c r="M1" s="59" t="s">
        <v>23</v>
      </c>
      <c r="N1" s="59"/>
      <c r="O1" s="59"/>
      <c r="P1" s="59"/>
      <c r="Q1" s="59"/>
      <c r="R1" s="59"/>
      <c r="S1" s="59"/>
      <c r="T1" s="59"/>
      <c r="U1" s="59"/>
      <c r="V1" s="1"/>
    </row>
    <row r="2" spans="1:22" x14ac:dyDescent="0.3">
      <c r="A2" s="1"/>
      <c r="B2" s="2" t="s">
        <v>9</v>
      </c>
      <c r="C2" s="2" t="s">
        <v>10</v>
      </c>
      <c r="D2" s="2" t="s">
        <v>16</v>
      </c>
      <c r="E2" s="2" t="s">
        <v>12</v>
      </c>
      <c r="F2" s="2" t="s">
        <v>13</v>
      </c>
      <c r="G2" s="2" t="s">
        <v>14</v>
      </c>
      <c r="H2" s="2" t="s">
        <v>18</v>
      </c>
      <c r="I2" s="2" t="s">
        <v>17</v>
      </c>
      <c r="J2" s="2" t="s">
        <v>57</v>
      </c>
      <c r="M2" s="1"/>
      <c r="N2" s="2" t="s">
        <v>9</v>
      </c>
      <c r="O2" s="2" t="s">
        <v>10</v>
      </c>
      <c r="P2" s="2" t="s">
        <v>11</v>
      </c>
      <c r="Q2" s="2" t="s">
        <v>12</v>
      </c>
      <c r="R2" s="2" t="s">
        <v>13</v>
      </c>
      <c r="S2" s="2" t="s">
        <v>14</v>
      </c>
      <c r="T2" s="2" t="s">
        <v>18</v>
      </c>
      <c r="U2" s="2" t="s">
        <v>17</v>
      </c>
      <c r="V2" s="2" t="s">
        <v>57</v>
      </c>
    </row>
    <row r="3" spans="1:22" x14ac:dyDescent="0.3">
      <c r="A3" s="1" t="s">
        <v>0</v>
      </c>
      <c r="B3" s="1">
        <v>105</v>
      </c>
      <c r="C3" s="1">
        <f>814-23</f>
        <v>791</v>
      </c>
      <c r="D3" s="1">
        <v>49</v>
      </c>
      <c r="E3" s="1">
        <v>8</v>
      </c>
      <c r="F3" s="1">
        <f>287-7</f>
        <v>280</v>
      </c>
      <c r="G3" s="1">
        <f>452-5</f>
        <v>447</v>
      </c>
      <c r="H3" s="1">
        <v>0</v>
      </c>
      <c r="I3" s="1">
        <v>30</v>
      </c>
      <c r="J3" s="43">
        <f>2423
-48</f>
        <v>2375</v>
      </c>
      <c r="M3" s="1" t="s">
        <v>0</v>
      </c>
      <c r="N3" s="1">
        <v>376</v>
      </c>
      <c r="O3" s="1">
        <f>1002-26</f>
        <v>976</v>
      </c>
      <c r="P3" s="1">
        <v>125</v>
      </c>
      <c r="Q3" s="1">
        <v>16</v>
      </c>
      <c r="R3" s="1">
        <f>428-5</f>
        <v>423</v>
      </c>
      <c r="S3" s="1">
        <v>574</v>
      </c>
      <c r="T3" s="1">
        <v>0</v>
      </c>
      <c r="U3" s="4">
        <v>46</v>
      </c>
      <c r="V3" s="45">
        <f>2587
-44</f>
        <v>2543</v>
      </c>
    </row>
    <row r="4" spans="1:22" x14ac:dyDescent="0.3">
      <c r="A4" s="48" t="s">
        <v>1</v>
      </c>
      <c r="B4" s="49">
        <f>138-5</f>
        <v>133</v>
      </c>
      <c r="C4" s="48">
        <f>766-19</f>
        <v>747</v>
      </c>
      <c r="D4" s="48">
        <v>84</v>
      </c>
      <c r="E4" s="48">
        <v>4</v>
      </c>
      <c r="F4" s="48">
        <v>260</v>
      </c>
      <c r="G4" s="48">
        <f>399-3</f>
        <v>396</v>
      </c>
      <c r="H4" s="48">
        <v>0</v>
      </c>
      <c r="I4" s="48">
        <v>53</v>
      </c>
      <c r="J4" s="50">
        <f>2285
-20</f>
        <v>2265</v>
      </c>
      <c r="M4" s="48" t="s">
        <v>1</v>
      </c>
      <c r="N4" s="49">
        <v>352</v>
      </c>
      <c r="O4" s="48">
        <v>903</v>
      </c>
      <c r="P4" s="48">
        <v>115</v>
      </c>
      <c r="Q4" s="49">
        <v>18</v>
      </c>
      <c r="R4" s="48">
        <v>443</v>
      </c>
      <c r="S4" s="49">
        <v>650</v>
      </c>
      <c r="T4" s="48">
        <v>0</v>
      </c>
      <c r="U4" s="48">
        <v>48</v>
      </c>
      <c r="V4" s="50">
        <f>2658
-48</f>
        <v>2610</v>
      </c>
    </row>
    <row r="5" spans="1:22" x14ac:dyDescent="0.3">
      <c r="A5" s="1" t="s">
        <v>2</v>
      </c>
      <c r="B5" s="1">
        <f>324-7</f>
        <v>317</v>
      </c>
      <c r="C5" s="1">
        <f>1070-43</f>
        <v>1027</v>
      </c>
      <c r="D5" s="1">
        <f>117-6</f>
        <v>111</v>
      </c>
      <c r="E5" s="1">
        <v>16</v>
      </c>
      <c r="F5" s="1">
        <f>428-4</f>
        <v>424</v>
      </c>
      <c r="G5" s="1">
        <f>670-9</f>
        <v>661</v>
      </c>
      <c r="H5" s="1">
        <v>0</v>
      </c>
      <c r="I5" s="1">
        <v>46</v>
      </c>
      <c r="J5" s="43">
        <f>2858
-37</f>
        <v>2821</v>
      </c>
      <c r="M5" s="1" t="s">
        <v>2</v>
      </c>
      <c r="N5" s="1">
        <f>393-4</f>
        <v>389</v>
      </c>
      <c r="O5" s="1">
        <f>1074-43</f>
        <v>1031</v>
      </c>
      <c r="P5" s="1">
        <f>134-6</f>
        <v>128</v>
      </c>
      <c r="Q5" s="1">
        <v>37</v>
      </c>
      <c r="R5" s="1">
        <f>382-4</f>
        <v>378</v>
      </c>
      <c r="S5" s="1">
        <f>652-7</f>
        <v>645</v>
      </c>
      <c r="T5" s="1">
        <v>4</v>
      </c>
      <c r="U5" s="4">
        <v>72</v>
      </c>
      <c r="V5" s="45">
        <f>2889
-42</f>
        <v>2847</v>
      </c>
    </row>
    <row r="6" spans="1:22" x14ac:dyDescent="0.3">
      <c r="A6" s="48" t="s">
        <v>3</v>
      </c>
      <c r="B6" s="48">
        <f>367-9</f>
        <v>358</v>
      </c>
      <c r="C6" s="48">
        <f>1114-37</f>
        <v>1077</v>
      </c>
      <c r="D6" s="48">
        <v>130</v>
      </c>
      <c r="E6" s="48">
        <v>18</v>
      </c>
      <c r="F6" s="48">
        <f>469-8</f>
        <v>461</v>
      </c>
      <c r="G6" s="48">
        <f>700-16</f>
        <v>684</v>
      </c>
      <c r="H6" s="48">
        <v>0</v>
      </c>
      <c r="I6" s="48">
        <v>49</v>
      </c>
      <c r="J6" s="51">
        <f>3376
-53</f>
        <v>3323</v>
      </c>
      <c r="M6" s="48" t="s">
        <v>3</v>
      </c>
      <c r="N6" s="48">
        <v>297</v>
      </c>
      <c r="O6" s="48">
        <f>955
-27</f>
        <v>928</v>
      </c>
      <c r="P6" s="48">
        <v>101</v>
      </c>
      <c r="Q6" s="49">
        <v>19</v>
      </c>
      <c r="R6" s="48">
        <v>248</v>
      </c>
      <c r="S6" s="48">
        <v>750</v>
      </c>
      <c r="T6" s="48">
        <v>21</v>
      </c>
      <c r="U6" s="49">
        <v>63</v>
      </c>
      <c r="V6" s="55">
        <f>3667
-38</f>
        <v>3629</v>
      </c>
    </row>
    <row r="7" spans="1:22" x14ac:dyDescent="0.3">
      <c r="A7" s="48" t="s">
        <v>4</v>
      </c>
      <c r="B7" s="48">
        <v>321</v>
      </c>
      <c r="C7" s="7">
        <f>1016-34</f>
        <v>982</v>
      </c>
      <c r="D7" s="48">
        <v>110</v>
      </c>
      <c r="E7" s="49">
        <v>5</v>
      </c>
      <c r="F7" s="48">
        <v>395</v>
      </c>
      <c r="G7" s="48">
        <f>680
-12</f>
        <v>668</v>
      </c>
      <c r="H7" s="48">
        <v>0</v>
      </c>
      <c r="I7" s="48">
        <v>52</v>
      </c>
      <c r="J7" s="52">
        <f>3625
-65</f>
        <v>3560</v>
      </c>
      <c r="M7" s="48" t="s">
        <v>4</v>
      </c>
      <c r="N7" s="48">
        <v>356</v>
      </c>
      <c r="O7" s="48">
        <f>1009-25</f>
        <v>984</v>
      </c>
      <c r="P7" s="49">
        <v>133</v>
      </c>
      <c r="Q7" s="49">
        <v>20</v>
      </c>
      <c r="R7" s="48">
        <v>305</v>
      </c>
      <c r="S7" s="48">
        <v>565</v>
      </c>
      <c r="T7" s="49">
        <v>22</v>
      </c>
      <c r="U7" s="48">
        <v>55</v>
      </c>
      <c r="V7" s="53">
        <f>2873
-33</f>
        <v>2840</v>
      </c>
    </row>
    <row r="8" spans="1:22" x14ac:dyDescent="0.3">
      <c r="A8" s="1" t="s">
        <v>5</v>
      </c>
      <c r="B8" s="1">
        <f>378-4</f>
        <v>374</v>
      </c>
      <c r="C8" s="1">
        <f>1010-19</f>
        <v>991</v>
      </c>
      <c r="D8" s="1">
        <v>115</v>
      </c>
      <c r="E8" s="4">
        <v>13</v>
      </c>
      <c r="F8" s="1">
        <f>407-6</f>
        <v>401</v>
      </c>
      <c r="G8" s="4">
        <f>704-13</f>
        <v>691</v>
      </c>
      <c r="H8" s="1">
        <v>0</v>
      </c>
      <c r="I8" s="1">
        <v>60</v>
      </c>
      <c r="J8" s="44">
        <f>3393
-72</f>
        <v>3321</v>
      </c>
      <c r="M8" s="1" t="s">
        <v>5</v>
      </c>
      <c r="N8" s="1">
        <v>368</v>
      </c>
      <c r="O8" s="1">
        <f>1032-34</f>
        <v>998</v>
      </c>
      <c r="P8" s="1">
        <f>143-5</f>
        <v>138</v>
      </c>
      <c r="Q8" s="4">
        <v>26</v>
      </c>
      <c r="R8" s="1">
        <v>437</v>
      </c>
      <c r="S8" s="4">
        <v>745</v>
      </c>
      <c r="T8" s="1">
        <v>66</v>
      </c>
      <c r="U8" s="4">
        <v>57</v>
      </c>
      <c r="V8" s="46">
        <f>3677-43</f>
        <v>3634</v>
      </c>
    </row>
    <row r="9" spans="1:22" x14ac:dyDescent="0.3">
      <c r="A9" s="48" t="s">
        <v>6</v>
      </c>
      <c r="B9" s="48">
        <f>369-5</f>
        <v>364</v>
      </c>
      <c r="C9" s="48">
        <f>972
-26</f>
        <v>946</v>
      </c>
      <c r="D9" s="48">
        <v>112</v>
      </c>
      <c r="E9" s="48">
        <v>10</v>
      </c>
      <c r="F9" s="48">
        <f>413
-6</f>
        <v>407</v>
      </c>
      <c r="G9" s="48">
        <f>641-7</f>
        <v>634</v>
      </c>
      <c r="H9" s="48">
        <v>0</v>
      </c>
      <c r="I9" s="48">
        <v>48</v>
      </c>
      <c r="J9" s="53">
        <f>3113
-40</f>
        <v>3073</v>
      </c>
      <c r="M9" s="48" t="s">
        <v>6</v>
      </c>
      <c r="N9" s="48">
        <v>228</v>
      </c>
      <c r="O9" s="48">
        <f>602
-15</f>
        <v>587</v>
      </c>
      <c r="P9" s="48">
        <v>88</v>
      </c>
      <c r="Q9" s="49">
        <v>4</v>
      </c>
      <c r="R9" s="48">
        <v>287</v>
      </c>
      <c r="S9" s="48">
        <f>523
-7</f>
        <v>516</v>
      </c>
      <c r="T9" s="48">
        <v>84</v>
      </c>
      <c r="U9" s="49">
        <v>32</v>
      </c>
      <c r="V9" s="53">
        <f>2457
-52</f>
        <v>2405</v>
      </c>
    </row>
    <row r="10" spans="1:22" x14ac:dyDescent="0.3">
      <c r="A10" s="1" t="s">
        <v>7</v>
      </c>
      <c r="B10" s="4">
        <v>229</v>
      </c>
      <c r="C10" s="1">
        <f>778-22</f>
        <v>756</v>
      </c>
      <c r="D10" s="1">
        <v>81</v>
      </c>
      <c r="E10" s="1">
        <v>5</v>
      </c>
      <c r="F10" s="1">
        <v>371</v>
      </c>
      <c r="G10" s="1">
        <f>583-7</f>
        <v>576</v>
      </c>
      <c r="H10" s="1">
        <v>0</v>
      </c>
      <c r="I10" s="1">
        <v>41</v>
      </c>
      <c r="J10" s="44">
        <f>2330
-36</f>
        <v>2294</v>
      </c>
      <c r="M10" s="1" t="s">
        <v>7</v>
      </c>
      <c r="N10" s="4">
        <f>353-7</f>
        <v>346</v>
      </c>
      <c r="O10" s="1">
        <f>972-32</f>
        <v>940</v>
      </c>
      <c r="P10" s="1">
        <v>140</v>
      </c>
      <c r="Q10" s="4">
        <v>7</v>
      </c>
      <c r="R10" s="1">
        <v>483</v>
      </c>
      <c r="S10" s="1">
        <f>769-12</f>
        <v>757</v>
      </c>
      <c r="T10" s="1">
        <v>16</v>
      </c>
      <c r="U10" s="4">
        <v>57</v>
      </c>
      <c r="V10" s="46">
        <f>3113-28</f>
        <v>3085</v>
      </c>
    </row>
    <row r="11" spans="1:22" x14ac:dyDescent="0.3">
      <c r="A11" s="48" t="s">
        <v>8</v>
      </c>
      <c r="B11" s="48">
        <v>319</v>
      </c>
      <c r="C11" s="48">
        <f>939-26</f>
        <v>913</v>
      </c>
      <c r="D11" s="48">
        <v>117</v>
      </c>
      <c r="E11" s="49">
        <v>5</v>
      </c>
      <c r="F11" s="48">
        <f>447
-5</f>
        <v>442</v>
      </c>
      <c r="G11" s="48">
        <f>623-11</f>
        <v>612</v>
      </c>
      <c r="H11" s="48">
        <v>0</v>
      </c>
      <c r="I11" s="49">
        <v>41</v>
      </c>
      <c r="J11" s="54">
        <f>2374
-30</f>
        <v>2344</v>
      </c>
      <c r="M11" s="48" t="s">
        <v>8</v>
      </c>
      <c r="N11" s="48">
        <v>388</v>
      </c>
      <c r="O11" s="48">
        <v>904</v>
      </c>
      <c r="P11" s="48">
        <v>136</v>
      </c>
      <c r="Q11" s="49">
        <v>21</v>
      </c>
      <c r="R11" s="48">
        <v>461</v>
      </c>
      <c r="S11" s="48">
        <v>676</v>
      </c>
      <c r="T11" s="48">
        <v>13</v>
      </c>
      <c r="U11" s="49">
        <v>48</v>
      </c>
      <c r="V11" s="54">
        <f>2844
-50</f>
        <v>2794</v>
      </c>
    </row>
    <row r="12" spans="1:22" x14ac:dyDescent="0.3">
      <c r="A12" s="48" t="s">
        <v>19</v>
      </c>
      <c r="B12" s="48">
        <v>232</v>
      </c>
      <c r="C12" s="48">
        <f>799-37</f>
        <v>762</v>
      </c>
      <c r="D12" s="48">
        <v>100</v>
      </c>
      <c r="E12" s="49">
        <v>7</v>
      </c>
      <c r="F12" s="48">
        <v>330</v>
      </c>
      <c r="G12" s="48">
        <f>528
-13</f>
        <v>515</v>
      </c>
      <c r="H12" s="48">
        <v>0</v>
      </c>
      <c r="I12" s="48">
        <v>47</v>
      </c>
      <c r="J12" s="50">
        <f>2110
-29</f>
        <v>2081</v>
      </c>
      <c r="M12" s="48" t="s">
        <v>19</v>
      </c>
      <c r="N12" s="48">
        <v>255</v>
      </c>
      <c r="O12" s="48">
        <f>804
-12</f>
        <v>792</v>
      </c>
      <c r="P12" s="48">
        <v>128</v>
      </c>
      <c r="Q12" s="49">
        <v>21</v>
      </c>
      <c r="R12" s="48">
        <v>422</v>
      </c>
      <c r="S12" s="48">
        <v>611</v>
      </c>
      <c r="T12" s="48">
        <v>14</v>
      </c>
      <c r="U12" s="49">
        <v>48</v>
      </c>
      <c r="V12" s="55">
        <f>2409
-31</f>
        <v>2378</v>
      </c>
    </row>
    <row r="13" spans="1:22" x14ac:dyDescent="0.3">
      <c r="A13" s="1" t="s">
        <v>21</v>
      </c>
      <c r="B13" s="1">
        <f>408-6</f>
        <v>402</v>
      </c>
      <c r="C13" s="1">
        <f>831-22</f>
        <v>809</v>
      </c>
      <c r="D13" s="1">
        <v>127</v>
      </c>
      <c r="E13" s="4">
        <v>9</v>
      </c>
      <c r="F13" s="1">
        <v>400</v>
      </c>
      <c r="G13" s="1">
        <v>612</v>
      </c>
      <c r="H13" s="1">
        <v>0</v>
      </c>
      <c r="I13" s="1">
        <v>43</v>
      </c>
      <c r="J13" s="43">
        <f>2586
-61</f>
        <v>2525</v>
      </c>
      <c r="M13" s="1" t="s">
        <v>21</v>
      </c>
      <c r="N13" s="1">
        <v>404</v>
      </c>
      <c r="O13" s="1">
        <f>864-18</f>
        <v>846</v>
      </c>
      <c r="P13" s="1">
        <v>145</v>
      </c>
      <c r="Q13" s="4">
        <v>14</v>
      </c>
      <c r="R13" s="1">
        <f>414-8</f>
        <v>406</v>
      </c>
      <c r="S13" s="1">
        <f>766-13</f>
        <v>753</v>
      </c>
      <c r="T13" s="1">
        <v>21</v>
      </c>
      <c r="U13" s="4">
        <v>52</v>
      </c>
      <c r="V13" s="45">
        <f>3004
-33</f>
        <v>2971</v>
      </c>
    </row>
    <row r="14" spans="1:22" x14ac:dyDescent="0.3">
      <c r="A14" s="48" t="s">
        <v>20</v>
      </c>
      <c r="B14" s="48">
        <v>562</v>
      </c>
      <c r="C14" s="48">
        <v>1100</v>
      </c>
      <c r="D14" s="48">
        <v>167</v>
      </c>
      <c r="E14" s="49">
        <v>12</v>
      </c>
      <c r="F14" s="48">
        <v>536</v>
      </c>
      <c r="G14" s="48">
        <f>779
-13</f>
        <v>766</v>
      </c>
      <c r="H14" s="48">
        <v>0</v>
      </c>
      <c r="I14" s="48">
        <v>46</v>
      </c>
      <c r="J14" s="50">
        <f>3078
-28</f>
        <v>3050</v>
      </c>
      <c r="M14" s="48" t="s">
        <v>20</v>
      </c>
      <c r="N14" s="48">
        <f>552
-5</f>
        <v>547</v>
      </c>
      <c r="O14" s="48">
        <f>939
-27</f>
        <v>912</v>
      </c>
      <c r="P14" s="48">
        <v>169</v>
      </c>
      <c r="Q14" s="49">
        <v>21</v>
      </c>
      <c r="R14" s="48">
        <v>457</v>
      </c>
      <c r="S14" s="48">
        <f>749
-11</f>
        <v>738</v>
      </c>
      <c r="T14" s="48">
        <v>26</v>
      </c>
      <c r="U14" s="49">
        <v>58</v>
      </c>
      <c r="V14" s="55">
        <f>3345
-61</f>
        <v>3284</v>
      </c>
    </row>
    <row r="15" spans="1:22" x14ac:dyDescent="0.3">
      <c r="A15" s="2" t="s">
        <v>15</v>
      </c>
      <c r="B15" s="2">
        <f t="shared" ref="B15:J15" si="0">SUM(B3:B14)</f>
        <v>3716</v>
      </c>
      <c r="C15" s="2">
        <f t="shared" si="0"/>
        <v>10901</v>
      </c>
      <c r="D15" s="2">
        <f t="shared" si="0"/>
        <v>1303</v>
      </c>
      <c r="E15" s="2">
        <f t="shared" si="0"/>
        <v>112</v>
      </c>
      <c r="F15" s="2">
        <f t="shared" si="0"/>
        <v>4707</v>
      </c>
      <c r="G15" s="2">
        <f t="shared" si="0"/>
        <v>7262</v>
      </c>
      <c r="H15" s="2">
        <f t="shared" si="0"/>
        <v>0</v>
      </c>
      <c r="I15" s="2">
        <f t="shared" si="0"/>
        <v>556</v>
      </c>
      <c r="J15" s="2">
        <f t="shared" si="0"/>
        <v>33032</v>
      </c>
      <c r="M15" s="2" t="s">
        <v>15</v>
      </c>
      <c r="N15" s="2">
        <f t="shared" ref="N15:V15" si="1">SUM(N3:N14)</f>
        <v>4306</v>
      </c>
      <c r="O15" s="2">
        <f t="shared" si="1"/>
        <v>10801</v>
      </c>
      <c r="P15" s="2">
        <f t="shared" si="1"/>
        <v>1546</v>
      </c>
      <c r="Q15" s="2">
        <f t="shared" si="1"/>
        <v>224</v>
      </c>
      <c r="R15" s="2">
        <f t="shared" si="1"/>
        <v>4750</v>
      </c>
      <c r="S15" s="2">
        <f t="shared" si="1"/>
        <v>7980</v>
      </c>
      <c r="T15" s="2">
        <f t="shared" si="1"/>
        <v>287</v>
      </c>
      <c r="U15" s="2">
        <f t="shared" si="1"/>
        <v>636</v>
      </c>
      <c r="V15" s="2">
        <f t="shared" si="1"/>
        <v>35020</v>
      </c>
    </row>
    <row r="17" spans="1:22" x14ac:dyDescent="0.3">
      <c r="A17" s="59" t="s">
        <v>24</v>
      </c>
      <c r="B17" s="59"/>
      <c r="C17" s="59"/>
      <c r="D17" s="59"/>
      <c r="E17" s="59"/>
      <c r="F17" s="59"/>
      <c r="G17" s="59"/>
      <c r="H17" s="59"/>
      <c r="I17" s="59"/>
      <c r="J17" s="1"/>
      <c r="M17" s="59" t="s">
        <v>25</v>
      </c>
      <c r="N17" s="59"/>
      <c r="O17" s="59"/>
      <c r="P17" s="59"/>
      <c r="Q17" s="59"/>
      <c r="R17" s="59"/>
      <c r="S17" s="59"/>
      <c r="T17" s="59"/>
      <c r="U17" s="59"/>
      <c r="V17" s="1"/>
    </row>
    <row r="18" spans="1:22" x14ac:dyDescent="0.3">
      <c r="A18" s="1"/>
      <c r="B18" s="2" t="s">
        <v>9</v>
      </c>
      <c r="C18" s="2" t="s">
        <v>10</v>
      </c>
      <c r="D18" s="2" t="s">
        <v>16</v>
      </c>
      <c r="E18" s="2" t="s">
        <v>12</v>
      </c>
      <c r="F18" s="2" t="s">
        <v>13</v>
      </c>
      <c r="G18" s="2" t="s">
        <v>14</v>
      </c>
      <c r="H18" s="2" t="s">
        <v>18</v>
      </c>
      <c r="I18" s="2" t="s">
        <v>17</v>
      </c>
      <c r="J18" s="2" t="s">
        <v>57</v>
      </c>
      <c r="M18" s="1"/>
      <c r="N18" s="2" t="s">
        <v>9</v>
      </c>
      <c r="O18" s="2" t="s">
        <v>10</v>
      </c>
      <c r="P18" s="2" t="s">
        <v>16</v>
      </c>
      <c r="Q18" s="2" t="s">
        <v>12</v>
      </c>
      <c r="R18" s="2" t="s">
        <v>13</v>
      </c>
      <c r="S18" s="2" t="s">
        <v>14</v>
      </c>
      <c r="T18" s="2" t="s">
        <v>18</v>
      </c>
      <c r="U18" s="2" t="s">
        <v>17</v>
      </c>
      <c r="V18" s="2" t="s">
        <v>57</v>
      </c>
    </row>
    <row r="19" spans="1:22" x14ac:dyDescent="0.3">
      <c r="A19" s="1" t="s">
        <v>0</v>
      </c>
      <c r="B19" s="1">
        <f>375-6</f>
        <v>369</v>
      </c>
      <c r="C19" s="1">
        <f>941-24</f>
        <v>917</v>
      </c>
      <c r="D19" s="1">
        <v>139</v>
      </c>
      <c r="E19" s="1">
        <v>21</v>
      </c>
      <c r="F19" s="1">
        <f>477-9</f>
        <v>468</v>
      </c>
      <c r="G19" s="1">
        <f>644-6</f>
        <v>638</v>
      </c>
      <c r="H19" s="4">
        <v>25</v>
      </c>
      <c r="I19" s="4">
        <v>52</v>
      </c>
      <c r="J19" s="45">
        <f>2872
-42</f>
        <v>2830</v>
      </c>
      <c r="M19" s="1" t="s">
        <v>0</v>
      </c>
      <c r="N19" s="1">
        <f>382-9</f>
        <v>373</v>
      </c>
      <c r="O19" s="1">
        <f>961-35</f>
        <v>926</v>
      </c>
      <c r="P19" s="1">
        <v>152</v>
      </c>
      <c r="Q19" s="1">
        <v>24</v>
      </c>
      <c r="R19" s="1">
        <f>428-7</f>
        <v>421</v>
      </c>
      <c r="S19" s="1">
        <f>768-11</f>
        <v>757</v>
      </c>
      <c r="T19" s="4">
        <v>29</v>
      </c>
      <c r="U19" s="4">
        <v>54</v>
      </c>
      <c r="V19" s="45">
        <f>2867
-29</f>
        <v>2838</v>
      </c>
    </row>
    <row r="20" spans="1:22" x14ac:dyDescent="0.3">
      <c r="A20" s="48" t="s">
        <v>1</v>
      </c>
      <c r="B20" s="49">
        <v>398</v>
      </c>
      <c r="C20" s="48">
        <f>979
-25</f>
        <v>954</v>
      </c>
      <c r="D20" s="48">
        <v>149</v>
      </c>
      <c r="E20" s="49">
        <v>27</v>
      </c>
      <c r="F20" s="48">
        <v>441</v>
      </c>
      <c r="G20" s="48">
        <f>597
-13</f>
        <v>584</v>
      </c>
      <c r="H20" s="49">
        <v>28</v>
      </c>
      <c r="I20" s="49">
        <v>51</v>
      </c>
      <c r="J20" s="55">
        <f>2689
-57</f>
        <v>2632</v>
      </c>
      <c r="M20" s="48" t="s">
        <v>1</v>
      </c>
      <c r="N20" s="49">
        <v>383</v>
      </c>
      <c r="O20" s="48">
        <v>938</v>
      </c>
      <c r="P20" s="48">
        <v>125</v>
      </c>
      <c r="Q20" s="49">
        <v>24</v>
      </c>
      <c r="R20" s="48">
        <v>432</v>
      </c>
      <c r="S20" s="48">
        <v>619</v>
      </c>
      <c r="T20" s="49">
        <v>31</v>
      </c>
      <c r="U20" s="49">
        <v>47</v>
      </c>
      <c r="V20" s="55">
        <f>2958
-36</f>
        <v>2922</v>
      </c>
    </row>
    <row r="21" spans="1:22" x14ac:dyDescent="0.3">
      <c r="A21" s="1" t="s">
        <v>2</v>
      </c>
      <c r="B21" s="1">
        <f>353-4</f>
        <v>349</v>
      </c>
      <c r="C21" s="1">
        <f>997-26</f>
        <v>971</v>
      </c>
      <c r="D21" s="1">
        <v>127</v>
      </c>
      <c r="E21" s="4">
        <v>22</v>
      </c>
      <c r="F21" s="1">
        <f>445-9</f>
        <v>436</v>
      </c>
      <c r="G21" s="1">
        <f>581-8</f>
        <v>573</v>
      </c>
      <c r="H21" s="1">
        <v>38</v>
      </c>
      <c r="I21" s="1">
        <v>41</v>
      </c>
      <c r="J21" s="43">
        <f>2808
-37</f>
        <v>2771</v>
      </c>
      <c r="M21" s="1" t="s">
        <v>2</v>
      </c>
      <c r="N21" s="1">
        <v>357</v>
      </c>
      <c r="O21" s="1">
        <f>1021-34</f>
        <v>987</v>
      </c>
      <c r="P21" s="1">
        <v>123</v>
      </c>
      <c r="Q21" s="4">
        <v>14</v>
      </c>
      <c r="R21" s="1">
        <v>492</v>
      </c>
      <c r="S21" s="1">
        <f>602-10</f>
        <v>592</v>
      </c>
      <c r="T21" s="1">
        <v>25</v>
      </c>
      <c r="U21" s="1">
        <v>54</v>
      </c>
      <c r="V21" s="43">
        <f>2956
-16</f>
        <v>2940</v>
      </c>
    </row>
    <row r="22" spans="1:22" x14ac:dyDescent="0.3">
      <c r="A22" s="48" t="s">
        <v>3</v>
      </c>
      <c r="B22" s="48">
        <v>342</v>
      </c>
      <c r="C22" s="48">
        <f>1066
-22</f>
        <v>1044</v>
      </c>
      <c r="D22" s="48">
        <v>149</v>
      </c>
      <c r="E22" s="49">
        <v>15</v>
      </c>
      <c r="F22" s="48">
        <v>489</v>
      </c>
      <c r="G22" s="48">
        <v>703</v>
      </c>
      <c r="H22" s="49">
        <v>29</v>
      </c>
      <c r="I22" s="49">
        <v>57</v>
      </c>
      <c r="J22" s="55">
        <f>2987
-28</f>
        <v>2959</v>
      </c>
      <c r="M22" s="48" t="s">
        <v>3</v>
      </c>
      <c r="N22" s="48">
        <v>429</v>
      </c>
      <c r="O22" s="48">
        <f>1144
-37</f>
        <v>1107</v>
      </c>
      <c r="P22" s="48">
        <v>128</v>
      </c>
      <c r="Q22" s="49">
        <v>15</v>
      </c>
      <c r="R22" s="48">
        <v>498</v>
      </c>
      <c r="S22" s="48">
        <v>688</v>
      </c>
      <c r="T22" s="49">
        <v>41</v>
      </c>
      <c r="U22" s="49">
        <v>55</v>
      </c>
      <c r="V22" s="55">
        <f>3509
-58</f>
        <v>3451</v>
      </c>
    </row>
    <row r="23" spans="1:22" x14ac:dyDescent="0.3">
      <c r="A23" s="48" t="s">
        <v>4</v>
      </c>
      <c r="B23" s="48">
        <v>306</v>
      </c>
      <c r="C23" s="48">
        <f>1081
-22</f>
        <v>1059</v>
      </c>
      <c r="D23" s="48">
        <v>97</v>
      </c>
      <c r="E23" s="49">
        <v>10</v>
      </c>
      <c r="F23" s="48">
        <v>461</v>
      </c>
      <c r="G23" s="48">
        <v>720</v>
      </c>
      <c r="H23" s="48">
        <v>15</v>
      </c>
      <c r="I23" s="48">
        <v>54</v>
      </c>
      <c r="J23" s="53">
        <f>3714
-46</f>
        <v>3668</v>
      </c>
      <c r="M23" s="48" t="s">
        <v>4</v>
      </c>
      <c r="N23" s="48">
        <v>250</v>
      </c>
      <c r="O23" s="48">
        <f>863
-17</f>
        <v>846</v>
      </c>
      <c r="P23" s="48">
        <v>93</v>
      </c>
      <c r="Q23" s="49">
        <v>10</v>
      </c>
      <c r="R23" s="48">
        <v>360</v>
      </c>
      <c r="S23" s="48">
        <v>629</v>
      </c>
      <c r="T23" s="49">
        <v>36</v>
      </c>
      <c r="U23" s="48">
        <v>39</v>
      </c>
      <c r="V23" s="53">
        <f>3461
-17</f>
        <v>3444</v>
      </c>
    </row>
    <row r="24" spans="1:22" x14ac:dyDescent="0.3">
      <c r="A24" s="1" t="s">
        <v>5</v>
      </c>
      <c r="B24" s="1">
        <v>332</v>
      </c>
      <c r="C24" s="1">
        <f>1016-35</f>
        <v>981</v>
      </c>
      <c r="D24" s="1">
        <v>118</v>
      </c>
      <c r="E24" s="4">
        <v>19</v>
      </c>
      <c r="F24" s="1">
        <v>454</v>
      </c>
      <c r="G24" s="4">
        <f>663-8</f>
        <v>655</v>
      </c>
      <c r="H24" s="1">
        <v>32</v>
      </c>
      <c r="I24" s="1">
        <v>74</v>
      </c>
      <c r="J24" s="44">
        <f>3121
-26</f>
        <v>3095</v>
      </c>
      <c r="M24" s="1" t="s">
        <v>5</v>
      </c>
      <c r="N24" s="1">
        <v>333</v>
      </c>
      <c r="O24" s="1">
        <f>1019-25</f>
        <v>994</v>
      </c>
      <c r="P24" s="1">
        <v>139</v>
      </c>
      <c r="Q24" s="4">
        <v>12</v>
      </c>
      <c r="R24" s="1">
        <v>400</v>
      </c>
      <c r="S24" s="4">
        <f>731-11</f>
        <v>720</v>
      </c>
      <c r="T24" s="1">
        <v>75</v>
      </c>
      <c r="U24" s="1">
        <v>41</v>
      </c>
      <c r="V24" s="44">
        <f>4105
-21</f>
        <v>4084</v>
      </c>
    </row>
    <row r="25" spans="1:22" x14ac:dyDescent="0.3">
      <c r="A25" s="48" t="s">
        <v>6</v>
      </c>
      <c r="B25" s="48">
        <v>328</v>
      </c>
      <c r="C25" s="48">
        <f>929
-32</f>
        <v>897</v>
      </c>
      <c r="D25" s="48">
        <v>138</v>
      </c>
      <c r="E25" s="49">
        <v>12</v>
      </c>
      <c r="F25" s="48">
        <v>450</v>
      </c>
      <c r="G25" s="48">
        <v>691</v>
      </c>
      <c r="H25" s="48">
        <v>73</v>
      </c>
      <c r="I25" s="48">
        <v>56</v>
      </c>
      <c r="J25" s="53">
        <f>3092
-42</f>
        <v>3050</v>
      </c>
      <c r="M25" s="48" t="s">
        <v>6</v>
      </c>
      <c r="N25" s="48">
        <v>276</v>
      </c>
      <c r="O25" s="48">
        <f>791-29</f>
        <v>762</v>
      </c>
      <c r="P25" s="48">
        <v>102</v>
      </c>
      <c r="Q25" s="49">
        <v>15</v>
      </c>
      <c r="R25" s="48">
        <f>371-4</f>
        <v>367</v>
      </c>
      <c r="S25" s="48">
        <v>566</v>
      </c>
      <c r="T25" s="48">
        <v>59</v>
      </c>
      <c r="U25" s="48">
        <v>73</v>
      </c>
      <c r="V25" s="53">
        <f>3246
-37</f>
        <v>3209</v>
      </c>
    </row>
    <row r="26" spans="1:22" x14ac:dyDescent="0.3">
      <c r="A26" s="1" t="s">
        <v>7</v>
      </c>
      <c r="B26" s="4">
        <v>226</v>
      </c>
      <c r="C26" s="1">
        <f>644-25</f>
        <v>619</v>
      </c>
      <c r="D26" s="1">
        <v>104</v>
      </c>
      <c r="E26" s="1">
        <v>15</v>
      </c>
      <c r="F26" s="1">
        <f>352-5</f>
        <v>347</v>
      </c>
      <c r="G26" s="1">
        <f>532-9</f>
        <v>523</v>
      </c>
      <c r="H26" s="1">
        <v>24</v>
      </c>
      <c r="I26" s="4">
        <v>49</v>
      </c>
      <c r="J26" s="44">
        <f>2200
-13</f>
        <v>2187</v>
      </c>
      <c r="M26" s="1" t="s">
        <v>7</v>
      </c>
      <c r="N26" s="4">
        <v>287</v>
      </c>
      <c r="O26" s="1">
        <f>783-33</f>
        <v>750</v>
      </c>
      <c r="P26" s="1">
        <v>113</v>
      </c>
      <c r="Q26" s="1">
        <v>14</v>
      </c>
      <c r="R26" s="1">
        <f>523-11</f>
        <v>512</v>
      </c>
      <c r="S26" s="4">
        <f>578-9</f>
        <v>569</v>
      </c>
      <c r="T26" s="1">
        <v>39</v>
      </c>
      <c r="U26" s="4">
        <v>40</v>
      </c>
      <c r="V26" s="46">
        <f>2679
-15</f>
        <v>2664</v>
      </c>
    </row>
    <row r="27" spans="1:22" x14ac:dyDescent="0.3">
      <c r="A27" s="48" t="s">
        <v>8</v>
      </c>
      <c r="B27" s="48">
        <f>383-6</f>
        <v>377</v>
      </c>
      <c r="C27" s="48">
        <f>946-31</f>
        <v>915</v>
      </c>
      <c r="D27" s="48">
        <v>116</v>
      </c>
      <c r="E27" s="49">
        <v>20</v>
      </c>
      <c r="F27" s="48">
        <v>459</v>
      </c>
      <c r="G27" s="48">
        <f>695-9</f>
        <v>686</v>
      </c>
      <c r="H27" s="48">
        <v>26</v>
      </c>
      <c r="I27" s="49">
        <v>50</v>
      </c>
      <c r="J27" s="53">
        <f>2698
-24</f>
        <v>2674</v>
      </c>
      <c r="M27" s="48" t="s">
        <v>8</v>
      </c>
      <c r="N27" s="48">
        <v>279</v>
      </c>
      <c r="O27" s="48">
        <v>803</v>
      </c>
      <c r="P27" s="48">
        <v>122</v>
      </c>
      <c r="Q27" s="49">
        <v>12</v>
      </c>
      <c r="R27" s="48">
        <v>419</v>
      </c>
      <c r="S27" s="48">
        <v>584</v>
      </c>
      <c r="T27" s="48">
        <v>33</v>
      </c>
      <c r="U27" s="49">
        <v>50</v>
      </c>
      <c r="V27" s="54">
        <f>2588
-34</f>
        <v>2554</v>
      </c>
    </row>
    <row r="28" spans="1:22" x14ac:dyDescent="0.3">
      <c r="A28" s="48" t="s">
        <v>19</v>
      </c>
      <c r="B28" s="48">
        <v>356</v>
      </c>
      <c r="C28" s="48">
        <v>802</v>
      </c>
      <c r="D28" s="48">
        <v>148</v>
      </c>
      <c r="E28" s="49">
        <v>12</v>
      </c>
      <c r="F28" s="48">
        <v>453</v>
      </c>
      <c r="G28" s="48">
        <v>682</v>
      </c>
      <c r="H28" s="48">
        <v>18</v>
      </c>
      <c r="I28" s="48">
        <v>39</v>
      </c>
      <c r="J28" s="50">
        <f>2685
-28</f>
        <v>2657</v>
      </c>
      <c r="M28" s="48" t="s">
        <v>19</v>
      </c>
      <c r="N28" s="48">
        <v>291</v>
      </c>
      <c r="O28" s="48">
        <f>879
-28</f>
        <v>851</v>
      </c>
      <c r="P28" s="48">
        <v>142</v>
      </c>
      <c r="Q28" s="49">
        <v>24</v>
      </c>
      <c r="R28" s="48">
        <v>532</v>
      </c>
      <c r="S28" s="48">
        <f>569
-13</f>
        <v>556</v>
      </c>
      <c r="T28" s="48">
        <v>21</v>
      </c>
      <c r="U28" s="48">
        <v>40</v>
      </c>
      <c r="V28" s="50">
        <f>2643
-22</f>
        <v>2621</v>
      </c>
    </row>
    <row r="29" spans="1:22" x14ac:dyDescent="0.3">
      <c r="A29" s="1" t="s">
        <v>21</v>
      </c>
      <c r="B29" s="1">
        <v>430</v>
      </c>
      <c r="C29" s="1">
        <f>960-38</f>
        <v>922</v>
      </c>
      <c r="D29" s="1">
        <v>149</v>
      </c>
      <c r="E29" s="4">
        <v>15</v>
      </c>
      <c r="F29" s="1">
        <v>464</v>
      </c>
      <c r="G29" s="1">
        <f>811-9</f>
        <v>802</v>
      </c>
      <c r="H29" s="1">
        <v>39</v>
      </c>
      <c r="I29" s="1">
        <v>58</v>
      </c>
      <c r="J29" s="43">
        <f>3123
-20</f>
        <v>3103</v>
      </c>
      <c r="M29" s="1" t="s">
        <v>21</v>
      </c>
      <c r="N29" s="1">
        <v>350</v>
      </c>
      <c r="O29" s="1">
        <f>776-29</f>
        <v>747</v>
      </c>
      <c r="P29" s="1">
        <v>142</v>
      </c>
      <c r="Q29" s="4">
        <v>19</v>
      </c>
      <c r="R29" s="1">
        <v>366</v>
      </c>
      <c r="S29" s="1">
        <v>625</v>
      </c>
      <c r="T29" s="1">
        <v>38</v>
      </c>
      <c r="U29" s="1">
        <v>41</v>
      </c>
      <c r="V29" s="43">
        <f>2814
-35</f>
        <v>2779</v>
      </c>
    </row>
    <row r="30" spans="1:22" x14ac:dyDescent="0.3">
      <c r="A30" s="48" t="s">
        <v>20</v>
      </c>
      <c r="B30" s="48">
        <v>594</v>
      </c>
      <c r="C30" s="48">
        <f>897
-32</f>
        <v>865</v>
      </c>
      <c r="D30" s="48">
        <v>139</v>
      </c>
      <c r="E30" s="49">
        <v>16</v>
      </c>
      <c r="F30" s="48">
        <v>438</v>
      </c>
      <c r="G30" s="48">
        <f>849
-17</f>
        <v>832</v>
      </c>
      <c r="H30" s="48">
        <v>43</v>
      </c>
      <c r="I30" s="48">
        <v>46</v>
      </c>
      <c r="J30" s="50">
        <f>3164
-27</f>
        <v>3137</v>
      </c>
      <c r="M30" s="48" t="s">
        <v>20</v>
      </c>
      <c r="N30" s="48">
        <f>543
-8</f>
        <v>535</v>
      </c>
      <c r="O30" s="48">
        <v>811</v>
      </c>
      <c r="P30" s="48">
        <v>142</v>
      </c>
      <c r="Q30" s="49">
        <v>18</v>
      </c>
      <c r="R30" s="48">
        <f>552
-7</f>
        <v>545</v>
      </c>
      <c r="S30" s="48">
        <v>681</v>
      </c>
      <c r="T30" s="48">
        <v>35</v>
      </c>
      <c r="U30" s="48">
        <v>37</v>
      </c>
      <c r="V30" s="50">
        <f>3146
-31</f>
        <v>3115</v>
      </c>
    </row>
    <row r="31" spans="1:22" x14ac:dyDescent="0.3">
      <c r="A31" s="2" t="s">
        <v>15</v>
      </c>
      <c r="B31" s="2">
        <f t="shared" ref="B31:J31" si="2">SUM(B19:B30)</f>
        <v>4407</v>
      </c>
      <c r="C31" s="2">
        <f t="shared" si="2"/>
        <v>10946</v>
      </c>
      <c r="D31" s="2">
        <f t="shared" si="2"/>
        <v>1573</v>
      </c>
      <c r="E31" s="2">
        <f t="shared" si="2"/>
        <v>204</v>
      </c>
      <c r="F31" s="2">
        <f t="shared" si="2"/>
        <v>5360</v>
      </c>
      <c r="G31" s="2">
        <f t="shared" si="2"/>
        <v>8089</v>
      </c>
      <c r="H31" s="2">
        <f t="shared" si="2"/>
        <v>390</v>
      </c>
      <c r="I31" s="2">
        <f t="shared" si="2"/>
        <v>627</v>
      </c>
      <c r="J31" s="2">
        <f t="shared" si="2"/>
        <v>34763</v>
      </c>
      <c r="M31" s="2" t="s">
        <v>15</v>
      </c>
      <c r="N31" s="2">
        <f t="shared" ref="N31:V31" si="3">SUM(N19:N30)</f>
        <v>4143</v>
      </c>
      <c r="O31" s="2">
        <f t="shared" si="3"/>
        <v>10522</v>
      </c>
      <c r="P31" s="2">
        <f t="shared" si="3"/>
        <v>1523</v>
      </c>
      <c r="Q31" s="2">
        <f t="shared" si="3"/>
        <v>201</v>
      </c>
      <c r="R31" s="2">
        <f t="shared" si="3"/>
        <v>5344</v>
      </c>
      <c r="S31" s="2">
        <f t="shared" si="3"/>
        <v>7586</v>
      </c>
      <c r="T31" s="2">
        <f t="shared" si="3"/>
        <v>462</v>
      </c>
      <c r="U31" s="2">
        <f t="shared" si="3"/>
        <v>571</v>
      </c>
      <c r="V31" s="2">
        <f t="shared" si="3"/>
        <v>36621</v>
      </c>
    </row>
    <row r="35" spans="1:21" x14ac:dyDescent="0.3">
      <c r="A35" s="59" t="s">
        <v>26</v>
      </c>
      <c r="B35" s="59"/>
      <c r="C35" s="59"/>
      <c r="D35" s="59"/>
      <c r="E35" s="59"/>
      <c r="F35" s="59"/>
      <c r="G35" s="59"/>
      <c r="H35" s="59"/>
      <c r="I35" s="59"/>
      <c r="J35" s="1"/>
      <c r="M35" s="60"/>
      <c r="N35" s="61"/>
      <c r="O35" s="61"/>
      <c r="P35" s="61"/>
      <c r="Q35" s="61"/>
      <c r="R35" s="61"/>
      <c r="S35" s="61"/>
      <c r="T35" s="61"/>
      <c r="U35" s="62"/>
    </row>
    <row r="36" spans="1:21" x14ac:dyDescent="0.3">
      <c r="A36" s="1"/>
      <c r="B36" s="2" t="s">
        <v>9</v>
      </c>
      <c r="C36" s="2" t="s">
        <v>10</v>
      </c>
      <c r="D36" s="2" t="s">
        <v>16</v>
      </c>
      <c r="E36" s="2" t="s">
        <v>12</v>
      </c>
      <c r="F36" s="2" t="s">
        <v>13</v>
      </c>
      <c r="G36" s="2" t="s">
        <v>14</v>
      </c>
      <c r="H36" s="2" t="s">
        <v>18</v>
      </c>
      <c r="I36" s="2" t="s">
        <v>17</v>
      </c>
      <c r="J36" s="2" t="s">
        <v>57</v>
      </c>
      <c r="M36" s="1"/>
      <c r="N36" s="2"/>
      <c r="O36" s="2"/>
      <c r="P36" s="2"/>
      <c r="Q36" s="2"/>
      <c r="R36" s="2"/>
      <c r="S36" s="2"/>
      <c r="T36" s="2"/>
      <c r="U36" s="2"/>
    </row>
    <row r="37" spans="1:21" x14ac:dyDescent="0.3">
      <c r="A37" s="1" t="s">
        <v>0</v>
      </c>
      <c r="B37" s="1">
        <v>361</v>
      </c>
      <c r="C37" s="1">
        <f>968-34</f>
        <v>934</v>
      </c>
      <c r="D37" s="1">
        <v>116</v>
      </c>
      <c r="E37" s="1">
        <v>28</v>
      </c>
      <c r="F37" s="1">
        <v>381</v>
      </c>
      <c r="G37" s="1">
        <f>565-6</f>
        <v>559</v>
      </c>
      <c r="H37" s="4">
        <v>48</v>
      </c>
      <c r="I37" s="4">
        <v>37</v>
      </c>
      <c r="J37" s="45">
        <f>3113
-24</f>
        <v>3089</v>
      </c>
      <c r="M37" s="1"/>
      <c r="O37" s="1"/>
      <c r="P37" s="1"/>
      <c r="Q37" s="1"/>
      <c r="R37" s="1"/>
      <c r="S37" s="1"/>
      <c r="T37" s="7"/>
      <c r="U37" s="7"/>
    </row>
    <row r="38" spans="1:21" x14ac:dyDescent="0.3">
      <c r="A38" s="48" t="s">
        <v>1</v>
      </c>
      <c r="B38" s="49">
        <v>354</v>
      </c>
      <c r="C38" s="48">
        <v>899</v>
      </c>
      <c r="D38" s="48">
        <v>127</v>
      </c>
      <c r="E38" s="49">
        <v>24</v>
      </c>
      <c r="F38" s="48">
        <v>416</v>
      </c>
      <c r="G38" s="48">
        <v>583</v>
      </c>
      <c r="H38" s="49">
        <v>39</v>
      </c>
      <c r="I38" s="49">
        <v>41</v>
      </c>
      <c r="J38" s="55">
        <f>2756
-22</f>
        <v>2734</v>
      </c>
      <c r="M38" s="1"/>
      <c r="N38" s="4"/>
      <c r="O38" s="1"/>
      <c r="P38" s="1"/>
      <c r="Q38" s="7"/>
      <c r="R38" s="1"/>
      <c r="S38" s="1"/>
      <c r="T38" s="7"/>
      <c r="U38" s="7"/>
    </row>
    <row r="39" spans="1:21" x14ac:dyDescent="0.3">
      <c r="A39" s="1" t="s">
        <v>2</v>
      </c>
      <c r="B39" s="1">
        <v>296</v>
      </c>
      <c r="C39" s="1">
        <f>1000-33</f>
        <v>967</v>
      </c>
      <c r="D39" s="1">
        <v>142</v>
      </c>
      <c r="E39" s="4">
        <v>12</v>
      </c>
      <c r="F39" s="1">
        <v>426</v>
      </c>
      <c r="G39" s="1">
        <v>514</v>
      </c>
      <c r="H39" s="1">
        <v>39</v>
      </c>
      <c r="I39" s="1">
        <v>39</v>
      </c>
      <c r="J39" s="43">
        <f>2694
-17</f>
        <v>2677</v>
      </c>
      <c r="M39" s="1"/>
      <c r="N39" s="1"/>
      <c r="O39" s="1"/>
      <c r="P39" s="1"/>
      <c r="Q39" s="7"/>
      <c r="R39" s="1"/>
      <c r="S39" s="1"/>
      <c r="T39" s="1"/>
      <c r="U39" s="1"/>
    </row>
    <row r="40" spans="1:21" x14ac:dyDescent="0.3">
      <c r="A40" s="48" t="s">
        <v>3</v>
      </c>
      <c r="B40" s="48">
        <v>336</v>
      </c>
      <c r="C40" s="48">
        <f>1083
-31</f>
        <v>1052</v>
      </c>
      <c r="D40" s="48">
        <v>136</v>
      </c>
      <c r="E40" s="49">
        <v>11</v>
      </c>
      <c r="F40" s="48">
        <v>494</v>
      </c>
      <c r="G40" s="48">
        <v>712</v>
      </c>
      <c r="H40" s="49">
        <v>25</v>
      </c>
      <c r="I40" s="49">
        <v>70</v>
      </c>
      <c r="J40" s="55">
        <f>3802
-38</f>
        <v>3764</v>
      </c>
      <c r="M40" s="1"/>
      <c r="N40" s="1"/>
      <c r="O40" s="1"/>
      <c r="P40" s="1"/>
      <c r="Q40" s="7"/>
      <c r="R40" s="1"/>
      <c r="S40" s="1"/>
      <c r="T40" s="7"/>
      <c r="U40" s="7"/>
    </row>
    <row r="41" spans="1:21" x14ac:dyDescent="0.3">
      <c r="A41" s="48" t="s">
        <v>4</v>
      </c>
      <c r="B41" s="48">
        <v>220</v>
      </c>
      <c r="C41" s="48">
        <f>884-22</f>
        <v>862</v>
      </c>
      <c r="D41" s="48">
        <v>94</v>
      </c>
      <c r="E41" s="49">
        <v>12</v>
      </c>
      <c r="F41" s="48">
        <v>220</v>
      </c>
      <c r="G41" s="48">
        <v>519</v>
      </c>
      <c r="H41" s="49">
        <v>18</v>
      </c>
      <c r="I41" s="48">
        <v>32</v>
      </c>
      <c r="J41" s="53">
        <f>2922
-20</f>
        <v>2902</v>
      </c>
      <c r="M41" s="1"/>
      <c r="N41" s="1"/>
      <c r="O41" s="1"/>
      <c r="P41" s="1"/>
      <c r="Q41" s="7"/>
      <c r="R41" s="1"/>
      <c r="S41" s="1"/>
      <c r="T41" s="7"/>
      <c r="U41" s="1"/>
    </row>
    <row r="42" spans="1:21" x14ac:dyDescent="0.3">
      <c r="A42" s="1" t="s">
        <v>5</v>
      </c>
      <c r="B42" s="1">
        <v>266</v>
      </c>
      <c r="C42" s="1">
        <f>927-34</f>
        <v>893</v>
      </c>
      <c r="D42" s="1">
        <v>133</v>
      </c>
      <c r="E42" s="4">
        <v>12</v>
      </c>
      <c r="F42" s="1">
        <v>459</v>
      </c>
      <c r="G42" s="4">
        <v>631</v>
      </c>
      <c r="H42" s="1">
        <v>69</v>
      </c>
      <c r="I42" s="1">
        <v>51</v>
      </c>
      <c r="J42" s="44">
        <f>3317
-37</f>
        <v>3280</v>
      </c>
      <c r="M42" s="2"/>
      <c r="N42" s="2"/>
      <c r="O42" s="2"/>
      <c r="P42" s="2"/>
      <c r="Q42" s="5"/>
      <c r="R42" s="2"/>
      <c r="S42" s="6"/>
      <c r="T42" s="2"/>
      <c r="U42" s="2"/>
    </row>
    <row r="43" spans="1:21" x14ac:dyDescent="0.3">
      <c r="A43" s="48" t="s">
        <v>6</v>
      </c>
      <c r="B43" s="48">
        <v>183</v>
      </c>
      <c r="C43" s="48">
        <f>614
-23</f>
        <v>591</v>
      </c>
      <c r="D43" s="48">
        <v>90</v>
      </c>
      <c r="E43" s="49">
        <v>2</v>
      </c>
      <c r="F43" s="48">
        <v>281</v>
      </c>
      <c r="G43" s="48">
        <v>446</v>
      </c>
      <c r="H43" s="48">
        <v>19</v>
      </c>
      <c r="I43" s="48">
        <v>32</v>
      </c>
      <c r="J43" s="53">
        <f>2254
-36</f>
        <v>2218</v>
      </c>
      <c r="M43" s="1"/>
      <c r="N43" s="1"/>
      <c r="O43" s="1"/>
      <c r="P43" s="1"/>
      <c r="Q43" s="7"/>
      <c r="R43" s="1"/>
      <c r="S43" s="1"/>
      <c r="T43" s="1"/>
      <c r="U43" s="1"/>
    </row>
    <row r="44" spans="1:21" x14ac:dyDescent="0.3">
      <c r="A44" s="1" t="s">
        <v>7</v>
      </c>
      <c r="B44" s="4">
        <v>212</v>
      </c>
      <c r="C44" s="1">
        <f>869-34</f>
        <v>835</v>
      </c>
      <c r="D44" s="1">
        <v>111</v>
      </c>
      <c r="E44" s="1">
        <v>22</v>
      </c>
      <c r="F44" s="1">
        <v>455</v>
      </c>
      <c r="G44" s="4">
        <v>543</v>
      </c>
      <c r="H44" s="1">
        <v>22</v>
      </c>
      <c r="I44" s="4">
        <v>71</v>
      </c>
      <c r="J44" s="46">
        <f>2614
-24</f>
        <v>2590</v>
      </c>
      <c r="M44" s="1"/>
      <c r="N44" s="4"/>
      <c r="O44" s="1"/>
      <c r="P44" s="1"/>
      <c r="Q44" s="1"/>
      <c r="R44" s="1"/>
      <c r="S44" s="7"/>
      <c r="T44" s="1"/>
      <c r="U44" s="7"/>
    </row>
    <row r="45" spans="1:21" x14ac:dyDescent="0.3">
      <c r="A45" s="48" t="s">
        <v>8</v>
      </c>
      <c r="B45" s="48">
        <v>306</v>
      </c>
      <c r="C45" s="48">
        <f>917
-26</f>
        <v>891</v>
      </c>
      <c r="D45" s="48">
        <v>145</v>
      </c>
      <c r="E45" s="49">
        <v>11</v>
      </c>
      <c r="F45" s="48">
        <v>536</v>
      </c>
      <c r="G45" s="48">
        <v>672</v>
      </c>
      <c r="H45" s="48">
        <v>37</v>
      </c>
      <c r="I45" s="49">
        <v>51</v>
      </c>
      <c r="J45" s="54">
        <f>2887
-19</f>
        <v>2868</v>
      </c>
      <c r="M45" s="1"/>
      <c r="N45" s="1"/>
      <c r="O45" s="1"/>
      <c r="P45" s="1"/>
      <c r="Q45" s="7"/>
      <c r="R45" s="1"/>
      <c r="S45" s="1"/>
      <c r="T45" s="1"/>
      <c r="U45" s="4"/>
    </row>
    <row r="46" spans="1:21" x14ac:dyDescent="0.3">
      <c r="A46" s="48" t="s">
        <v>19</v>
      </c>
      <c r="B46" s="48">
        <v>242</v>
      </c>
      <c r="C46" s="48">
        <f>763
-27</f>
        <v>736</v>
      </c>
      <c r="D46" s="48">
        <v>123</v>
      </c>
      <c r="E46" s="48">
        <v>9</v>
      </c>
      <c r="F46" s="48">
        <v>516</v>
      </c>
      <c r="G46" s="48">
        <v>563</v>
      </c>
      <c r="H46" s="49">
        <v>20</v>
      </c>
      <c r="I46" s="49">
        <v>53</v>
      </c>
      <c r="J46" s="55">
        <f>2392
-19</f>
        <v>2373</v>
      </c>
      <c r="M46" s="2"/>
      <c r="N46" s="2"/>
      <c r="O46" s="2"/>
      <c r="P46" s="2"/>
      <c r="Q46" s="2"/>
      <c r="R46" s="2"/>
      <c r="S46" s="2"/>
      <c r="T46" s="2"/>
      <c r="U46" s="2"/>
    </row>
    <row r="47" spans="1:21" x14ac:dyDescent="0.3">
      <c r="A47" s="1" t="s">
        <v>21</v>
      </c>
      <c r="B47" s="4">
        <v>393</v>
      </c>
      <c r="C47" s="1">
        <f>821-28</f>
        <v>793</v>
      </c>
      <c r="D47" s="1">
        <v>116</v>
      </c>
      <c r="E47" s="4">
        <v>14</v>
      </c>
      <c r="F47" s="1">
        <v>395</v>
      </c>
      <c r="G47" s="1">
        <f>617-12</f>
        <v>605</v>
      </c>
      <c r="H47" s="4">
        <v>27</v>
      </c>
      <c r="I47" s="4">
        <v>57</v>
      </c>
      <c r="J47" s="45">
        <f>2830
-34</f>
        <v>2796</v>
      </c>
    </row>
    <row r="48" spans="1:21" x14ac:dyDescent="0.3">
      <c r="A48" s="48" t="s">
        <v>20</v>
      </c>
      <c r="B48" s="48">
        <v>419</v>
      </c>
      <c r="C48" s="48">
        <f>803
-36</f>
        <v>767</v>
      </c>
      <c r="D48" s="48">
        <v>128</v>
      </c>
      <c r="E48" s="49">
        <v>10</v>
      </c>
      <c r="F48" s="48">
        <v>587</v>
      </c>
      <c r="G48" s="48">
        <v>587</v>
      </c>
      <c r="H48" s="48">
        <v>36</v>
      </c>
      <c r="I48" s="48">
        <v>59</v>
      </c>
      <c r="J48" s="55">
        <f>2981
-24</f>
        <v>2957</v>
      </c>
    </row>
    <row r="49" spans="1:15" x14ac:dyDescent="0.3">
      <c r="A49" s="2" t="s">
        <v>15</v>
      </c>
      <c r="B49" s="2">
        <f t="shared" ref="B49:J49" si="4">SUM(B37:B48)</f>
        <v>3588</v>
      </c>
      <c r="C49" s="2">
        <f t="shared" si="4"/>
        <v>10220</v>
      </c>
      <c r="D49" s="2">
        <f t="shared" si="4"/>
        <v>1461</v>
      </c>
      <c r="E49" s="2">
        <f t="shared" si="4"/>
        <v>167</v>
      </c>
      <c r="F49" s="2">
        <f t="shared" si="4"/>
        <v>5166</v>
      </c>
      <c r="G49" s="2">
        <f t="shared" si="4"/>
        <v>6934</v>
      </c>
      <c r="H49" s="2">
        <f t="shared" si="4"/>
        <v>399</v>
      </c>
      <c r="I49" s="2">
        <f t="shared" si="4"/>
        <v>593</v>
      </c>
      <c r="J49" s="2">
        <f t="shared" si="4"/>
        <v>34248</v>
      </c>
      <c r="O49" s="13" t="s">
        <v>31</v>
      </c>
    </row>
    <row r="50" spans="1:15" x14ac:dyDescent="0.3">
      <c r="O50" s="1" t="s">
        <v>9</v>
      </c>
    </row>
    <row r="51" spans="1:15" x14ac:dyDescent="0.3">
      <c r="O51" s="1" t="s">
        <v>10</v>
      </c>
    </row>
    <row r="52" spans="1:15" x14ac:dyDescent="0.3">
      <c r="O52" s="1" t="s">
        <v>16</v>
      </c>
    </row>
    <row r="53" spans="1:15" x14ac:dyDescent="0.3">
      <c r="O53" s="1" t="s">
        <v>12</v>
      </c>
    </row>
    <row r="54" spans="1:15" x14ac:dyDescent="0.3">
      <c r="O54" s="1" t="s">
        <v>13</v>
      </c>
    </row>
    <row r="55" spans="1:15" x14ac:dyDescent="0.3">
      <c r="O55" s="1" t="s">
        <v>14</v>
      </c>
    </row>
    <row r="56" spans="1:15" x14ac:dyDescent="0.3">
      <c r="O56" s="1" t="s">
        <v>18</v>
      </c>
    </row>
    <row r="57" spans="1:15" x14ac:dyDescent="0.3">
      <c r="O57" s="9" t="s">
        <v>17</v>
      </c>
    </row>
  </sheetData>
  <mergeCells count="6">
    <mergeCell ref="A35:I35"/>
    <mergeCell ref="M35:U35"/>
    <mergeCell ref="M1:U1"/>
    <mergeCell ref="A1:I1"/>
    <mergeCell ref="A17:I17"/>
    <mergeCell ref="M17:U17"/>
  </mergeCells>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41"/>
  <sheetViews>
    <sheetView topLeftCell="A13" zoomScale="115" zoomScaleNormal="115" workbookViewId="0">
      <selection activeCell="H15" sqref="H15"/>
    </sheetView>
  </sheetViews>
  <sheetFormatPr defaultRowHeight="14.4" x14ac:dyDescent="0.3"/>
  <cols>
    <col min="2" max="2" width="8.6640625" customWidth="1"/>
    <col min="3" max="3" width="13.33203125" customWidth="1"/>
    <col min="4" max="4" width="13" customWidth="1"/>
  </cols>
  <sheetData>
    <row r="1" spans="1:5" x14ac:dyDescent="0.3">
      <c r="A1" s="13" t="s">
        <v>32</v>
      </c>
      <c r="B1" s="13" t="s">
        <v>27</v>
      </c>
      <c r="C1" s="13" t="s">
        <v>30</v>
      </c>
      <c r="D1" s="13" t="s">
        <v>33</v>
      </c>
      <c r="E1" s="13" t="s">
        <v>41</v>
      </c>
    </row>
    <row r="2" spans="1:5" x14ac:dyDescent="0.3">
      <c r="A2" s="13" t="s">
        <v>22</v>
      </c>
      <c r="B2" s="1" t="s">
        <v>0</v>
      </c>
      <c r="C2">
        <v>1</v>
      </c>
      <c r="D2" s="2" t="s">
        <v>9</v>
      </c>
      <c r="E2" s="1">
        <v>105</v>
      </c>
    </row>
    <row r="3" spans="1:5" x14ac:dyDescent="0.3">
      <c r="A3" t="s">
        <v>22</v>
      </c>
      <c r="B3" s="1" t="s">
        <v>1</v>
      </c>
      <c r="C3">
        <v>2</v>
      </c>
      <c r="D3" s="1" t="s">
        <v>9</v>
      </c>
      <c r="E3" s="49">
        <f>138-5</f>
        <v>133</v>
      </c>
    </row>
    <row r="4" spans="1:5" x14ac:dyDescent="0.3">
      <c r="A4" t="s">
        <v>22</v>
      </c>
      <c r="B4" s="1" t="s">
        <v>2</v>
      </c>
      <c r="C4">
        <v>3</v>
      </c>
      <c r="D4" s="1" t="s">
        <v>9</v>
      </c>
      <c r="E4" s="1">
        <f>324-7</f>
        <v>317</v>
      </c>
    </row>
    <row r="5" spans="1:5" x14ac:dyDescent="0.3">
      <c r="A5" t="s">
        <v>22</v>
      </c>
      <c r="B5" s="1" t="s">
        <v>3</v>
      </c>
      <c r="C5">
        <v>4</v>
      </c>
      <c r="D5" s="1" t="s">
        <v>9</v>
      </c>
      <c r="E5" s="48">
        <f>367-9</f>
        <v>358</v>
      </c>
    </row>
    <row r="6" spans="1:5" x14ac:dyDescent="0.3">
      <c r="A6" t="s">
        <v>22</v>
      </c>
      <c r="B6" s="1" t="s">
        <v>4</v>
      </c>
      <c r="C6">
        <v>5</v>
      </c>
      <c r="D6" s="1" t="s">
        <v>9</v>
      </c>
      <c r="E6" s="48">
        <v>321</v>
      </c>
    </row>
    <row r="7" spans="1:5" x14ac:dyDescent="0.3">
      <c r="A7" t="s">
        <v>22</v>
      </c>
      <c r="B7" s="1" t="s">
        <v>5</v>
      </c>
      <c r="C7">
        <v>6</v>
      </c>
      <c r="D7" s="1" t="s">
        <v>9</v>
      </c>
      <c r="E7" s="1">
        <f>378-4</f>
        <v>374</v>
      </c>
    </row>
    <row r="8" spans="1:5" x14ac:dyDescent="0.3">
      <c r="A8" t="s">
        <v>22</v>
      </c>
      <c r="B8" s="1" t="s">
        <v>6</v>
      </c>
      <c r="C8">
        <v>7</v>
      </c>
      <c r="D8" s="1" t="s">
        <v>9</v>
      </c>
      <c r="E8" s="48">
        <f>369-5</f>
        <v>364</v>
      </c>
    </row>
    <row r="9" spans="1:5" x14ac:dyDescent="0.3">
      <c r="A9" t="s">
        <v>22</v>
      </c>
      <c r="B9" s="1" t="s">
        <v>7</v>
      </c>
      <c r="C9">
        <v>8</v>
      </c>
      <c r="D9" s="1" t="s">
        <v>9</v>
      </c>
      <c r="E9" s="4">
        <v>229</v>
      </c>
    </row>
    <row r="10" spans="1:5" x14ac:dyDescent="0.3">
      <c r="A10" t="s">
        <v>22</v>
      </c>
      <c r="B10" s="1" t="s">
        <v>8</v>
      </c>
      <c r="C10">
        <v>9</v>
      </c>
      <c r="D10" s="1" t="s">
        <v>9</v>
      </c>
      <c r="E10" s="48">
        <v>319</v>
      </c>
    </row>
    <row r="11" spans="1:5" x14ac:dyDescent="0.3">
      <c r="A11" t="s">
        <v>22</v>
      </c>
      <c r="B11" s="8" t="s">
        <v>19</v>
      </c>
      <c r="C11">
        <v>10</v>
      </c>
      <c r="D11" s="1" t="s">
        <v>9</v>
      </c>
      <c r="E11" s="48">
        <v>232</v>
      </c>
    </row>
    <row r="12" spans="1:5" x14ac:dyDescent="0.3">
      <c r="A12" t="s">
        <v>22</v>
      </c>
      <c r="B12" s="8" t="s">
        <v>21</v>
      </c>
      <c r="C12">
        <v>11</v>
      </c>
      <c r="D12" s="1" t="s">
        <v>9</v>
      </c>
      <c r="E12" s="1">
        <f>408-6</f>
        <v>402</v>
      </c>
    </row>
    <row r="13" spans="1:5" x14ac:dyDescent="0.3">
      <c r="A13" t="s">
        <v>22</v>
      </c>
      <c r="B13" s="8" t="s">
        <v>20</v>
      </c>
      <c r="C13">
        <v>12</v>
      </c>
      <c r="D13" s="1" t="s">
        <v>9</v>
      </c>
      <c r="E13" s="48">
        <v>562</v>
      </c>
    </row>
    <row r="14" spans="1:5" x14ac:dyDescent="0.3">
      <c r="A14" s="13" t="s">
        <v>23</v>
      </c>
      <c r="B14" s="1" t="s">
        <v>0</v>
      </c>
      <c r="C14">
        <v>1</v>
      </c>
      <c r="D14" s="1" t="s">
        <v>9</v>
      </c>
      <c r="E14" s="1">
        <v>376</v>
      </c>
    </row>
    <row r="15" spans="1:5" x14ac:dyDescent="0.3">
      <c r="A15" t="s">
        <v>23</v>
      </c>
      <c r="B15" s="1" t="s">
        <v>1</v>
      </c>
      <c r="C15">
        <v>2</v>
      </c>
      <c r="D15" s="1" t="s">
        <v>9</v>
      </c>
      <c r="E15" s="49">
        <v>352</v>
      </c>
    </row>
    <row r="16" spans="1:5" x14ac:dyDescent="0.3">
      <c r="A16" t="s">
        <v>23</v>
      </c>
      <c r="B16" s="1" t="s">
        <v>2</v>
      </c>
      <c r="C16">
        <v>3</v>
      </c>
      <c r="D16" s="1" t="s">
        <v>9</v>
      </c>
      <c r="E16" s="1">
        <f>393-4</f>
        <v>389</v>
      </c>
    </row>
    <row r="17" spans="1:5" x14ac:dyDescent="0.3">
      <c r="A17" t="s">
        <v>23</v>
      </c>
      <c r="B17" s="1" t="s">
        <v>3</v>
      </c>
      <c r="C17">
        <v>4</v>
      </c>
      <c r="D17" s="1" t="s">
        <v>9</v>
      </c>
      <c r="E17" s="48">
        <v>297</v>
      </c>
    </row>
    <row r="18" spans="1:5" x14ac:dyDescent="0.3">
      <c r="A18" t="s">
        <v>23</v>
      </c>
      <c r="B18" s="1" t="s">
        <v>4</v>
      </c>
      <c r="C18">
        <v>5</v>
      </c>
      <c r="D18" s="1" t="s">
        <v>9</v>
      </c>
      <c r="E18" s="48">
        <v>356</v>
      </c>
    </row>
    <row r="19" spans="1:5" x14ac:dyDescent="0.3">
      <c r="A19" t="s">
        <v>23</v>
      </c>
      <c r="B19" s="1" t="s">
        <v>5</v>
      </c>
      <c r="C19">
        <v>6</v>
      </c>
      <c r="D19" s="1" t="s">
        <v>9</v>
      </c>
      <c r="E19" s="1">
        <v>368</v>
      </c>
    </row>
    <row r="20" spans="1:5" x14ac:dyDescent="0.3">
      <c r="A20" t="s">
        <v>23</v>
      </c>
      <c r="B20" s="1" t="s">
        <v>6</v>
      </c>
      <c r="C20">
        <v>7</v>
      </c>
      <c r="D20" s="1" t="s">
        <v>9</v>
      </c>
      <c r="E20" s="48">
        <v>228</v>
      </c>
    </row>
    <row r="21" spans="1:5" x14ac:dyDescent="0.3">
      <c r="A21" t="s">
        <v>23</v>
      </c>
      <c r="B21" s="1" t="s">
        <v>7</v>
      </c>
      <c r="C21">
        <v>8</v>
      </c>
      <c r="D21" s="1" t="s">
        <v>9</v>
      </c>
      <c r="E21" s="4">
        <f>353-7</f>
        <v>346</v>
      </c>
    </row>
    <row r="22" spans="1:5" x14ac:dyDescent="0.3">
      <c r="A22" t="s">
        <v>23</v>
      </c>
      <c r="B22" s="1" t="s">
        <v>8</v>
      </c>
      <c r="C22">
        <v>9</v>
      </c>
      <c r="D22" s="1" t="s">
        <v>9</v>
      </c>
      <c r="E22" s="48">
        <v>388</v>
      </c>
    </row>
    <row r="23" spans="1:5" x14ac:dyDescent="0.3">
      <c r="A23" t="s">
        <v>23</v>
      </c>
      <c r="B23" s="8" t="s">
        <v>19</v>
      </c>
      <c r="C23">
        <v>10</v>
      </c>
      <c r="D23" s="1" t="s">
        <v>9</v>
      </c>
      <c r="E23" s="48">
        <v>255</v>
      </c>
    </row>
    <row r="24" spans="1:5" x14ac:dyDescent="0.3">
      <c r="A24" t="s">
        <v>23</v>
      </c>
      <c r="B24" s="8" t="s">
        <v>21</v>
      </c>
      <c r="C24">
        <v>11</v>
      </c>
      <c r="D24" s="1" t="s">
        <v>9</v>
      </c>
      <c r="E24" s="1">
        <v>404</v>
      </c>
    </row>
    <row r="25" spans="1:5" x14ac:dyDescent="0.3">
      <c r="A25" t="s">
        <v>23</v>
      </c>
      <c r="B25" s="8" t="s">
        <v>20</v>
      </c>
      <c r="C25">
        <v>12</v>
      </c>
      <c r="D25" s="1" t="s">
        <v>9</v>
      </c>
      <c r="E25" s="48">
        <f>552
-5</f>
        <v>547</v>
      </c>
    </row>
    <row r="26" spans="1:5" x14ac:dyDescent="0.3">
      <c r="A26" s="13" t="s">
        <v>24</v>
      </c>
      <c r="B26" s="1" t="s">
        <v>0</v>
      </c>
      <c r="C26">
        <v>1</v>
      </c>
      <c r="D26" s="1" t="s">
        <v>9</v>
      </c>
      <c r="E26" s="1">
        <f>375-6</f>
        <v>369</v>
      </c>
    </row>
    <row r="27" spans="1:5" x14ac:dyDescent="0.3">
      <c r="A27" t="s">
        <v>24</v>
      </c>
      <c r="B27" s="1" t="s">
        <v>1</v>
      </c>
      <c r="C27">
        <v>2</v>
      </c>
      <c r="D27" s="1" t="s">
        <v>9</v>
      </c>
      <c r="E27" s="49">
        <v>398</v>
      </c>
    </row>
    <row r="28" spans="1:5" x14ac:dyDescent="0.3">
      <c r="A28" t="s">
        <v>24</v>
      </c>
      <c r="B28" s="1" t="s">
        <v>2</v>
      </c>
      <c r="C28">
        <v>3</v>
      </c>
      <c r="D28" s="1" t="s">
        <v>9</v>
      </c>
      <c r="E28" s="1">
        <f>353-4</f>
        <v>349</v>
      </c>
    </row>
    <row r="29" spans="1:5" x14ac:dyDescent="0.3">
      <c r="A29" t="s">
        <v>24</v>
      </c>
      <c r="B29" s="1" t="s">
        <v>3</v>
      </c>
      <c r="C29">
        <v>4</v>
      </c>
      <c r="D29" s="1" t="s">
        <v>9</v>
      </c>
      <c r="E29" s="48">
        <v>342</v>
      </c>
    </row>
    <row r="30" spans="1:5" x14ac:dyDescent="0.3">
      <c r="A30" t="s">
        <v>24</v>
      </c>
      <c r="B30" s="1" t="s">
        <v>4</v>
      </c>
      <c r="C30">
        <v>5</v>
      </c>
      <c r="D30" s="1" t="s">
        <v>9</v>
      </c>
      <c r="E30" s="48">
        <v>306</v>
      </c>
    </row>
    <row r="31" spans="1:5" x14ac:dyDescent="0.3">
      <c r="A31" t="s">
        <v>24</v>
      </c>
      <c r="B31" s="1" t="s">
        <v>5</v>
      </c>
      <c r="C31">
        <v>6</v>
      </c>
      <c r="D31" s="1" t="s">
        <v>9</v>
      </c>
      <c r="E31" s="1">
        <v>332</v>
      </c>
    </row>
    <row r="32" spans="1:5" x14ac:dyDescent="0.3">
      <c r="A32" t="s">
        <v>24</v>
      </c>
      <c r="B32" s="1" t="s">
        <v>6</v>
      </c>
      <c r="C32">
        <v>7</v>
      </c>
      <c r="D32" s="1" t="s">
        <v>9</v>
      </c>
      <c r="E32" s="48">
        <v>328</v>
      </c>
    </row>
    <row r="33" spans="1:5" x14ac:dyDescent="0.3">
      <c r="A33" t="s">
        <v>24</v>
      </c>
      <c r="B33" s="1" t="s">
        <v>7</v>
      </c>
      <c r="C33">
        <v>8</v>
      </c>
      <c r="D33" s="1" t="s">
        <v>9</v>
      </c>
      <c r="E33" s="4">
        <v>226</v>
      </c>
    </row>
    <row r="34" spans="1:5" x14ac:dyDescent="0.3">
      <c r="A34" t="s">
        <v>24</v>
      </c>
      <c r="B34" s="1" t="s">
        <v>8</v>
      </c>
      <c r="C34">
        <v>9</v>
      </c>
      <c r="D34" s="1" t="s">
        <v>9</v>
      </c>
      <c r="E34" s="48">
        <f>383-6</f>
        <v>377</v>
      </c>
    </row>
    <row r="35" spans="1:5" x14ac:dyDescent="0.3">
      <c r="A35" t="s">
        <v>24</v>
      </c>
      <c r="B35" s="8" t="s">
        <v>19</v>
      </c>
      <c r="C35">
        <v>10</v>
      </c>
      <c r="D35" s="1" t="s">
        <v>9</v>
      </c>
      <c r="E35" s="48">
        <v>356</v>
      </c>
    </row>
    <row r="36" spans="1:5" x14ac:dyDescent="0.3">
      <c r="A36" t="s">
        <v>24</v>
      </c>
      <c r="B36" s="8" t="s">
        <v>21</v>
      </c>
      <c r="C36">
        <v>11</v>
      </c>
      <c r="D36" s="1" t="s">
        <v>9</v>
      </c>
      <c r="E36" s="1">
        <v>430</v>
      </c>
    </row>
    <row r="37" spans="1:5" x14ac:dyDescent="0.3">
      <c r="A37" t="s">
        <v>24</v>
      </c>
      <c r="B37" s="8" t="s">
        <v>20</v>
      </c>
      <c r="C37">
        <v>12</v>
      </c>
      <c r="D37" s="1" t="s">
        <v>9</v>
      </c>
      <c r="E37" s="48">
        <v>594</v>
      </c>
    </row>
    <row r="38" spans="1:5" x14ac:dyDescent="0.3">
      <c r="A38" s="13" t="s">
        <v>25</v>
      </c>
      <c r="B38" s="1" t="s">
        <v>0</v>
      </c>
      <c r="C38">
        <v>1</v>
      </c>
      <c r="D38" s="1" t="s">
        <v>9</v>
      </c>
      <c r="E38" s="1">
        <f>382-9</f>
        <v>373</v>
      </c>
    </row>
    <row r="39" spans="1:5" x14ac:dyDescent="0.3">
      <c r="A39" t="s">
        <v>25</v>
      </c>
      <c r="B39" s="1" t="s">
        <v>1</v>
      </c>
      <c r="C39">
        <v>2</v>
      </c>
      <c r="D39" s="1" t="s">
        <v>9</v>
      </c>
      <c r="E39" s="49">
        <v>383</v>
      </c>
    </row>
    <row r="40" spans="1:5" x14ac:dyDescent="0.3">
      <c r="A40" t="s">
        <v>25</v>
      </c>
      <c r="B40" s="1" t="s">
        <v>2</v>
      </c>
      <c r="C40">
        <v>3</v>
      </c>
      <c r="D40" s="1" t="s">
        <v>9</v>
      </c>
      <c r="E40" s="1">
        <v>357</v>
      </c>
    </row>
    <row r="41" spans="1:5" x14ac:dyDescent="0.3">
      <c r="A41" t="s">
        <v>25</v>
      </c>
      <c r="B41" s="1" t="s">
        <v>3</v>
      </c>
      <c r="C41">
        <v>4</v>
      </c>
      <c r="D41" s="1" t="s">
        <v>9</v>
      </c>
      <c r="E41" s="48">
        <v>429</v>
      </c>
    </row>
    <row r="42" spans="1:5" x14ac:dyDescent="0.3">
      <c r="A42" t="s">
        <v>25</v>
      </c>
      <c r="B42" s="1" t="s">
        <v>4</v>
      </c>
      <c r="C42">
        <v>5</v>
      </c>
      <c r="D42" s="1" t="s">
        <v>9</v>
      </c>
      <c r="E42" s="48">
        <v>250</v>
      </c>
    </row>
    <row r="43" spans="1:5" x14ac:dyDescent="0.3">
      <c r="A43" t="s">
        <v>25</v>
      </c>
      <c r="B43" s="1" t="s">
        <v>5</v>
      </c>
      <c r="C43">
        <v>6</v>
      </c>
      <c r="D43" s="1" t="s">
        <v>9</v>
      </c>
      <c r="E43" s="1">
        <v>333</v>
      </c>
    </row>
    <row r="44" spans="1:5" x14ac:dyDescent="0.3">
      <c r="A44" t="s">
        <v>25</v>
      </c>
      <c r="B44" s="1" t="s">
        <v>6</v>
      </c>
      <c r="C44">
        <v>7</v>
      </c>
      <c r="D44" s="1" t="s">
        <v>9</v>
      </c>
      <c r="E44" s="48">
        <v>276</v>
      </c>
    </row>
    <row r="45" spans="1:5" x14ac:dyDescent="0.3">
      <c r="A45" t="s">
        <v>25</v>
      </c>
      <c r="B45" s="1" t="s">
        <v>7</v>
      </c>
      <c r="C45">
        <v>8</v>
      </c>
      <c r="D45" s="1" t="s">
        <v>9</v>
      </c>
      <c r="E45" s="4">
        <v>287</v>
      </c>
    </row>
    <row r="46" spans="1:5" x14ac:dyDescent="0.3">
      <c r="A46" t="s">
        <v>25</v>
      </c>
      <c r="B46" s="1" t="s">
        <v>8</v>
      </c>
      <c r="C46">
        <v>9</v>
      </c>
      <c r="D46" s="1" t="s">
        <v>9</v>
      </c>
      <c r="E46" s="48">
        <v>279</v>
      </c>
    </row>
    <row r="47" spans="1:5" x14ac:dyDescent="0.3">
      <c r="A47" t="s">
        <v>25</v>
      </c>
      <c r="B47" s="8" t="s">
        <v>19</v>
      </c>
      <c r="C47">
        <v>10</v>
      </c>
      <c r="D47" s="1" t="s">
        <v>9</v>
      </c>
      <c r="E47" s="48">
        <v>291</v>
      </c>
    </row>
    <row r="48" spans="1:5" x14ac:dyDescent="0.3">
      <c r="A48" t="s">
        <v>25</v>
      </c>
      <c r="B48" s="8" t="s">
        <v>21</v>
      </c>
      <c r="C48">
        <v>11</v>
      </c>
      <c r="D48" s="1" t="s">
        <v>9</v>
      </c>
      <c r="E48" s="1">
        <v>350</v>
      </c>
    </row>
    <row r="49" spans="1:5" x14ac:dyDescent="0.3">
      <c r="A49" t="s">
        <v>25</v>
      </c>
      <c r="B49" s="8" t="s">
        <v>20</v>
      </c>
      <c r="C49">
        <v>12</v>
      </c>
      <c r="D49" s="1" t="s">
        <v>9</v>
      </c>
      <c r="E49" s="48">
        <f>543
-8</f>
        <v>535</v>
      </c>
    </row>
    <row r="50" spans="1:5" x14ac:dyDescent="0.3">
      <c r="A50" s="13" t="s">
        <v>26</v>
      </c>
      <c r="B50" s="1" t="s">
        <v>0</v>
      </c>
      <c r="C50">
        <v>1</v>
      </c>
      <c r="D50" s="1" t="s">
        <v>9</v>
      </c>
      <c r="E50" s="1">
        <v>361</v>
      </c>
    </row>
    <row r="51" spans="1:5" x14ac:dyDescent="0.3">
      <c r="A51" t="s">
        <v>26</v>
      </c>
      <c r="B51" s="1" t="s">
        <v>1</v>
      </c>
      <c r="C51">
        <v>2</v>
      </c>
      <c r="D51" s="1" t="s">
        <v>9</v>
      </c>
      <c r="E51" s="49">
        <v>354</v>
      </c>
    </row>
    <row r="52" spans="1:5" x14ac:dyDescent="0.3">
      <c r="A52" t="s">
        <v>26</v>
      </c>
      <c r="B52" s="1" t="s">
        <v>2</v>
      </c>
      <c r="C52">
        <v>3</v>
      </c>
      <c r="D52" s="1" t="s">
        <v>9</v>
      </c>
      <c r="E52" s="1">
        <v>296</v>
      </c>
    </row>
    <row r="53" spans="1:5" x14ac:dyDescent="0.3">
      <c r="A53" t="s">
        <v>26</v>
      </c>
      <c r="B53" s="1" t="s">
        <v>3</v>
      </c>
      <c r="C53">
        <v>4</v>
      </c>
      <c r="D53" s="1" t="s">
        <v>9</v>
      </c>
      <c r="E53" s="48">
        <v>336</v>
      </c>
    </row>
    <row r="54" spans="1:5" x14ac:dyDescent="0.3">
      <c r="A54" t="s">
        <v>26</v>
      </c>
      <c r="B54" s="1" t="s">
        <v>4</v>
      </c>
      <c r="C54">
        <v>5</v>
      </c>
      <c r="D54" s="1" t="s">
        <v>9</v>
      </c>
      <c r="E54" s="48">
        <v>220</v>
      </c>
    </row>
    <row r="55" spans="1:5" x14ac:dyDescent="0.3">
      <c r="A55" t="s">
        <v>26</v>
      </c>
      <c r="B55" s="1" t="s">
        <v>5</v>
      </c>
      <c r="C55">
        <v>6</v>
      </c>
      <c r="D55" s="1" t="s">
        <v>9</v>
      </c>
      <c r="E55" s="1">
        <v>266</v>
      </c>
    </row>
    <row r="56" spans="1:5" x14ac:dyDescent="0.3">
      <c r="A56" t="s">
        <v>26</v>
      </c>
      <c r="B56" s="1" t="s">
        <v>6</v>
      </c>
      <c r="C56">
        <v>7</v>
      </c>
      <c r="D56" s="1" t="s">
        <v>9</v>
      </c>
      <c r="E56" s="48">
        <v>183</v>
      </c>
    </row>
    <row r="57" spans="1:5" x14ac:dyDescent="0.3">
      <c r="A57" t="s">
        <v>26</v>
      </c>
      <c r="B57" s="1" t="s">
        <v>7</v>
      </c>
      <c r="C57">
        <v>8</v>
      </c>
      <c r="D57" s="1" t="s">
        <v>9</v>
      </c>
      <c r="E57" s="4">
        <v>212</v>
      </c>
    </row>
    <row r="58" spans="1:5" x14ac:dyDescent="0.3">
      <c r="A58" t="s">
        <v>26</v>
      </c>
      <c r="B58" s="1" t="s">
        <v>8</v>
      </c>
      <c r="C58">
        <v>9</v>
      </c>
      <c r="D58" s="1" t="s">
        <v>9</v>
      </c>
      <c r="E58" s="48">
        <v>306</v>
      </c>
    </row>
    <row r="59" spans="1:5" x14ac:dyDescent="0.3">
      <c r="A59" t="s">
        <v>26</v>
      </c>
      <c r="B59" s="8" t="s">
        <v>19</v>
      </c>
      <c r="C59">
        <v>10</v>
      </c>
      <c r="D59" s="1" t="s">
        <v>9</v>
      </c>
      <c r="E59" s="48">
        <v>242</v>
      </c>
    </row>
    <row r="60" spans="1:5" x14ac:dyDescent="0.3">
      <c r="A60" t="s">
        <v>26</v>
      </c>
      <c r="B60" s="8" t="s">
        <v>21</v>
      </c>
      <c r="C60">
        <v>11</v>
      </c>
      <c r="D60" s="1" t="s">
        <v>9</v>
      </c>
      <c r="E60" s="4">
        <v>393</v>
      </c>
    </row>
    <row r="61" spans="1:5" x14ac:dyDescent="0.3">
      <c r="A61" t="s">
        <v>26</v>
      </c>
      <c r="B61" s="8" t="s">
        <v>20</v>
      </c>
      <c r="C61">
        <v>12</v>
      </c>
      <c r="D61" s="1" t="s">
        <v>9</v>
      </c>
      <c r="E61" s="48">
        <v>419</v>
      </c>
    </row>
    <row r="62" spans="1:5" x14ac:dyDescent="0.3">
      <c r="A62" s="13" t="s">
        <v>22</v>
      </c>
      <c r="B62" s="1" t="s">
        <v>0</v>
      </c>
      <c r="C62">
        <v>1</v>
      </c>
      <c r="D62" s="2" t="s">
        <v>10</v>
      </c>
      <c r="E62" s="1">
        <f>814-23</f>
        <v>791</v>
      </c>
    </row>
    <row r="63" spans="1:5" x14ac:dyDescent="0.3">
      <c r="A63" t="s">
        <v>22</v>
      </c>
      <c r="B63" s="1" t="s">
        <v>1</v>
      </c>
      <c r="C63">
        <v>2</v>
      </c>
      <c r="D63" s="1" t="s">
        <v>10</v>
      </c>
      <c r="E63" s="48">
        <f>766-19</f>
        <v>747</v>
      </c>
    </row>
    <row r="64" spans="1:5" x14ac:dyDescent="0.3">
      <c r="A64" t="s">
        <v>22</v>
      </c>
      <c r="B64" s="1" t="s">
        <v>2</v>
      </c>
      <c r="C64">
        <v>3</v>
      </c>
      <c r="D64" s="1" t="s">
        <v>10</v>
      </c>
      <c r="E64" s="1">
        <f>1070-43</f>
        <v>1027</v>
      </c>
    </row>
    <row r="65" spans="1:5" x14ac:dyDescent="0.3">
      <c r="A65" t="s">
        <v>22</v>
      </c>
      <c r="B65" s="1" t="s">
        <v>3</v>
      </c>
      <c r="C65">
        <v>4</v>
      </c>
      <c r="D65" s="1" t="s">
        <v>10</v>
      </c>
      <c r="E65" s="48">
        <f>1114-37</f>
        <v>1077</v>
      </c>
    </row>
    <row r="66" spans="1:5" x14ac:dyDescent="0.3">
      <c r="A66" t="s">
        <v>22</v>
      </c>
      <c r="B66" s="1" t="s">
        <v>4</v>
      </c>
      <c r="C66">
        <v>5</v>
      </c>
      <c r="D66" s="1" t="s">
        <v>10</v>
      </c>
      <c r="E66" s="7">
        <f>1016-34</f>
        <v>982</v>
      </c>
    </row>
    <row r="67" spans="1:5" x14ac:dyDescent="0.3">
      <c r="A67" t="s">
        <v>22</v>
      </c>
      <c r="B67" s="1" t="s">
        <v>5</v>
      </c>
      <c r="C67">
        <v>6</v>
      </c>
      <c r="D67" s="1" t="s">
        <v>10</v>
      </c>
      <c r="E67" s="1">
        <f>1010-19</f>
        <v>991</v>
      </c>
    </row>
    <row r="68" spans="1:5" x14ac:dyDescent="0.3">
      <c r="A68" t="s">
        <v>22</v>
      </c>
      <c r="B68" s="1" t="s">
        <v>6</v>
      </c>
      <c r="C68">
        <v>7</v>
      </c>
      <c r="D68" s="1" t="s">
        <v>10</v>
      </c>
      <c r="E68" s="48">
        <f>972
-26</f>
        <v>946</v>
      </c>
    </row>
    <row r="69" spans="1:5" x14ac:dyDescent="0.3">
      <c r="A69" t="s">
        <v>22</v>
      </c>
      <c r="B69" s="1" t="s">
        <v>7</v>
      </c>
      <c r="C69">
        <v>8</v>
      </c>
      <c r="D69" s="1" t="s">
        <v>10</v>
      </c>
      <c r="E69" s="1">
        <f>778-22</f>
        <v>756</v>
      </c>
    </row>
    <row r="70" spans="1:5" x14ac:dyDescent="0.3">
      <c r="A70" t="s">
        <v>22</v>
      </c>
      <c r="B70" s="1" t="s">
        <v>8</v>
      </c>
      <c r="C70">
        <v>9</v>
      </c>
      <c r="D70" s="1" t="s">
        <v>10</v>
      </c>
      <c r="E70" s="48">
        <f>939-26</f>
        <v>913</v>
      </c>
    </row>
    <row r="71" spans="1:5" x14ac:dyDescent="0.3">
      <c r="A71" t="s">
        <v>22</v>
      </c>
      <c r="B71" s="8" t="s">
        <v>19</v>
      </c>
      <c r="C71">
        <v>10</v>
      </c>
      <c r="D71" s="1" t="s">
        <v>10</v>
      </c>
      <c r="E71" s="48">
        <f>799-37</f>
        <v>762</v>
      </c>
    </row>
    <row r="72" spans="1:5" x14ac:dyDescent="0.3">
      <c r="A72" t="s">
        <v>22</v>
      </c>
      <c r="B72" s="8" t="s">
        <v>21</v>
      </c>
      <c r="C72">
        <v>11</v>
      </c>
      <c r="D72" s="1" t="s">
        <v>10</v>
      </c>
      <c r="E72" s="1">
        <f>831-22</f>
        <v>809</v>
      </c>
    </row>
    <row r="73" spans="1:5" x14ac:dyDescent="0.3">
      <c r="A73" t="s">
        <v>22</v>
      </c>
      <c r="B73" s="8" t="s">
        <v>20</v>
      </c>
      <c r="C73">
        <v>12</v>
      </c>
      <c r="D73" s="1" t="s">
        <v>10</v>
      </c>
      <c r="E73" s="48">
        <v>1100</v>
      </c>
    </row>
    <row r="74" spans="1:5" x14ac:dyDescent="0.3">
      <c r="A74" s="13" t="s">
        <v>23</v>
      </c>
      <c r="B74" s="1" t="s">
        <v>0</v>
      </c>
      <c r="C74">
        <v>1</v>
      </c>
      <c r="D74" s="1" t="s">
        <v>10</v>
      </c>
      <c r="E74" s="1">
        <f>1002-26</f>
        <v>976</v>
      </c>
    </row>
    <row r="75" spans="1:5" x14ac:dyDescent="0.3">
      <c r="A75" t="s">
        <v>23</v>
      </c>
      <c r="B75" s="1" t="s">
        <v>1</v>
      </c>
      <c r="C75">
        <v>2</v>
      </c>
      <c r="D75" s="1" t="s">
        <v>10</v>
      </c>
      <c r="E75" s="48">
        <v>903</v>
      </c>
    </row>
    <row r="76" spans="1:5" x14ac:dyDescent="0.3">
      <c r="A76" t="s">
        <v>23</v>
      </c>
      <c r="B76" s="1" t="s">
        <v>2</v>
      </c>
      <c r="C76">
        <v>3</v>
      </c>
      <c r="D76" s="1" t="s">
        <v>10</v>
      </c>
      <c r="E76" s="1">
        <f>1074-43</f>
        <v>1031</v>
      </c>
    </row>
    <row r="77" spans="1:5" x14ac:dyDescent="0.3">
      <c r="A77" t="s">
        <v>23</v>
      </c>
      <c r="B77" s="1" t="s">
        <v>3</v>
      </c>
      <c r="C77">
        <v>4</v>
      </c>
      <c r="D77" s="1" t="s">
        <v>10</v>
      </c>
      <c r="E77" s="48">
        <f>955
-27</f>
        <v>928</v>
      </c>
    </row>
    <row r="78" spans="1:5" x14ac:dyDescent="0.3">
      <c r="A78" t="s">
        <v>23</v>
      </c>
      <c r="B78" s="1" t="s">
        <v>4</v>
      </c>
      <c r="C78">
        <v>5</v>
      </c>
      <c r="D78" s="1" t="s">
        <v>10</v>
      </c>
      <c r="E78" s="48">
        <f>1009-25</f>
        <v>984</v>
      </c>
    </row>
    <row r="79" spans="1:5" x14ac:dyDescent="0.3">
      <c r="A79" t="s">
        <v>23</v>
      </c>
      <c r="B79" s="1" t="s">
        <v>5</v>
      </c>
      <c r="C79">
        <v>6</v>
      </c>
      <c r="D79" s="1" t="s">
        <v>10</v>
      </c>
      <c r="E79" s="1">
        <f>1032-34</f>
        <v>998</v>
      </c>
    </row>
    <row r="80" spans="1:5" x14ac:dyDescent="0.3">
      <c r="A80" t="s">
        <v>23</v>
      </c>
      <c r="B80" s="1" t="s">
        <v>6</v>
      </c>
      <c r="C80">
        <v>7</v>
      </c>
      <c r="D80" s="1" t="s">
        <v>10</v>
      </c>
      <c r="E80" s="48">
        <f>602
-15</f>
        <v>587</v>
      </c>
    </row>
    <row r="81" spans="1:5" x14ac:dyDescent="0.3">
      <c r="A81" t="s">
        <v>23</v>
      </c>
      <c r="B81" s="1" t="s">
        <v>7</v>
      </c>
      <c r="C81">
        <v>8</v>
      </c>
      <c r="D81" s="1" t="s">
        <v>10</v>
      </c>
      <c r="E81" s="1">
        <f>972-32</f>
        <v>940</v>
      </c>
    </row>
    <row r="82" spans="1:5" x14ac:dyDescent="0.3">
      <c r="A82" t="s">
        <v>23</v>
      </c>
      <c r="B82" s="1" t="s">
        <v>8</v>
      </c>
      <c r="C82">
        <v>9</v>
      </c>
      <c r="D82" s="1" t="s">
        <v>10</v>
      </c>
      <c r="E82" s="48">
        <v>904</v>
      </c>
    </row>
    <row r="83" spans="1:5" x14ac:dyDescent="0.3">
      <c r="A83" t="s">
        <v>23</v>
      </c>
      <c r="B83" s="8" t="s">
        <v>19</v>
      </c>
      <c r="C83">
        <v>10</v>
      </c>
      <c r="D83" s="1" t="s">
        <v>10</v>
      </c>
      <c r="E83" s="48">
        <f>804
-12</f>
        <v>792</v>
      </c>
    </row>
    <row r="84" spans="1:5" x14ac:dyDescent="0.3">
      <c r="A84" t="s">
        <v>23</v>
      </c>
      <c r="B84" s="8" t="s">
        <v>21</v>
      </c>
      <c r="C84">
        <v>11</v>
      </c>
      <c r="D84" s="1" t="s">
        <v>10</v>
      </c>
      <c r="E84" s="1">
        <f>864-18</f>
        <v>846</v>
      </c>
    </row>
    <row r="85" spans="1:5" x14ac:dyDescent="0.3">
      <c r="A85" t="s">
        <v>23</v>
      </c>
      <c r="B85" s="8" t="s">
        <v>20</v>
      </c>
      <c r="C85">
        <v>12</v>
      </c>
      <c r="D85" s="1" t="s">
        <v>10</v>
      </c>
      <c r="E85" s="48">
        <f>939
-27</f>
        <v>912</v>
      </c>
    </row>
    <row r="86" spans="1:5" x14ac:dyDescent="0.3">
      <c r="A86" s="13" t="s">
        <v>24</v>
      </c>
      <c r="B86" s="1" t="s">
        <v>0</v>
      </c>
      <c r="C86">
        <v>1</v>
      </c>
      <c r="D86" s="1" t="s">
        <v>10</v>
      </c>
      <c r="E86" s="1">
        <f>941-24</f>
        <v>917</v>
      </c>
    </row>
    <row r="87" spans="1:5" x14ac:dyDescent="0.3">
      <c r="A87" t="s">
        <v>24</v>
      </c>
      <c r="B87" s="1" t="s">
        <v>1</v>
      </c>
      <c r="C87">
        <v>2</v>
      </c>
      <c r="D87" s="1" t="s">
        <v>10</v>
      </c>
      <c r="E87" s="48">
        <f>979
-25</f>
        <v>954</v>
      </c>
    </row>
    <row r="88" spans="1:5" x14ac:dyDescent="0.3">
      <c r="A88" t="s">
        <v>24</v>
      </c>
      <c r="B88" s="1" t="s">
        <v>2</v>
      </c>
      <c r="C88">
        <v>3</v>
      </c>
      <c r="D88" s="1" t="s">
        <v>10</v>
      </c>
      <c r="E88" s="1">
        <f>997-26</f>
        <v>971</v>
      </c>
    </row>
    <row r="89" spans="1:5" x14ac:dyDescent="0.3">
      <c r="A89" t="s">
        <v>24</v>
      </c>
      <c r="B89" s="1" t="s">
        <v>3</v>
      </c>
      <c r="C89">
        <v>4</v>
      </c>
      <c r="D89" s="1" t="s">
        <v>10</v>
      </c>
      <c r="E89" s="48">
        <f>1066
-22</f>
        <v>1044</v>
      </c>
    </row>
    <row r="90" spans="1:5" x14ac:dyDescent="0.3">
      <c r="A90" t="s">
        <v>24</v>
      </c>
      <c r="B90" s="1" t="s">
        <v>4</v>
      </c>
      <c r="C90">
        <v>5</v>
      </c>
      <c r="D90" s="1" t="s">
        <v>10</v>
      </c>
      <c r="E90" s="48">
        <f>1081
-22</f>
        <v>1059</v>
      </c>
    </row>
    <row r="91" spans="1:5" x14ac:dyDescent="0.3">
      <c r="A91" t="s">
        <v>24</v>
      </c>
      <c r="B91" s="1" t="s">
        <v>5</v>
      </c>
      <c r="C91">
        <v>6</v>
      </c>
      <c r="D91" s="1" t="s">
        <v>10</v>
      </c>
      <c r="E91" s="1">
        <f>1016-35</f>
        <v>981</v>
      </c>
    </row>
    <row r="92" spans="1:5" x14ac:dyDescent="0.3">
      <c r="A92" t="s">
        <v>24</v>
      </c>
      <c r="B92" s="1" t="s">
        <v>6</v>
      </c>
      <c r="C92">
        <v>7</v>
      </c>
      <c r="D92" s="1" t="s">
        <v>10</v>
      </c>
      <c r="E92" s="48">
        <f>929
-32</f>
        <v>897</v>
      </c>
    </row>
    <row r="93" spans="1:5" x14ac:dyDescent="0.3">
      <c r="A93" t="s">
        <v>24</v>
      </c>
      <c r="B93" s="1" t="s">
        <v>7</v>
      </c>
      <c r="C93">
        <v>8</v>
      </c>
      <c r="D93" s="1" t="s">
        <v>10</v>
      </c>
      <c r="E93" s="1">
        <f>644-25</f>
        <v>619</v>
      </c>
    </row>
    <row r="94" spans="1:5" x14ac:dyDescent="0.3">
      <c r="A94" t="s">
        <v>24</v>
      </c>
      <c r="B94" s="1" t="s">
        <v>8</v>
      </c>
      <c r="C94">
        <v>9</v>
      </c>
      <c r="D94" s="1" t="s">
        <v>10</v>
      </c>
      <c r="E94" s="48">
        <f>946-31</f>
        <v>915</v>
      </c>
    </row>
    <row r="95" spans="1:5" x14ac:dyDescent="0.3">
      <c r="A95" t="s">
        <v>24</v>
      </c>
      <c r="B95" s="8" t="s">
        <v>19</v>
      </c>
      <c r="C95">
        <v>10</v>
      </c>
      <c r="D95" s="1" t="s">
        <v>10</v>
      </c>
      <c r="E95" s="48">
        <v>802</v>
      </c>
    </row>
    <row r="96" spans="1:5" x14ac:dyDescent="0.3">
      <c r="A96" t="s">
        <v>24</v>
      </c>
      <c r="B96" s="8" t="s">
        <v>21</v>
      </c>
      <c r="C96">
        <v>11</v>
      </c>
      <c r="D96" s="1" t="s">
        <v>10</v>
      </c>
      <c r="E96" s="1">
        <f>960-38</f>
        <v>922</v>
      </c>
    </row>
    <row r="97" spans="1:5" x14ac:dyDescent="0.3">
      <c r="A97" t="s">
        <v>24</v>
      </c>
      <c r="B97" s="8" t="s">
        <v>20</v>
      </c>
      <c r="C97">
        <v>12</v>
      </c>
      <c r="D97" s="1" t="s">
        <v>10</v>
      </c>
      <c r="E97" s="48">
        <f>897
-32</f>
        <v>865</v>
      </c>
    </row>
    <row r="98" spans="1:5" x14ac:dyDescent="0.3">
      <c r="A98" s="13" t="s">
        <v>25</v>
      </c>
      <c r="B98" s="1" t="s">
        <v>0</v>
      </c>
      <c r="C98">
        <v>1</v>
      </c>
      <c r="D98" s="1" t="s">
        <v>10</v>
      </c>
      <c r="E98" s="1">
        <f>961-35</f>
        <v>926</v>
      </c>
    </row>
    <row r="99" spans="1:5" x14ac:dyDescent="0.3">
      <c r="A99" t="s">
        <v>25</v>
      </c>
      <c r="B99" s="1" t="s">
        <v>1</v>
      </c>
      <c r="C99">
        <v>2</v>
      </c>
      <c r="D99" s="1" t="s">
        <v>10</v>
      </c>
      <c r="E99" s="48">
        <v>938</v>
      </c>
    </row>
    <row r="100" spans="1:5" x14ac:dyDescent="0.3">
      <c r="A100" t="s">
        <v>25</v>
      </c>
      <c r="B100" s="1" t="s">
        <v>2</v>
      </c>
      <c r="C100">
        <v>3</v>
      </c>
      <c r="D100" s="1" t="s">
        <v>10</v>
      </c>
      <c r="E100" s="1">
        <f>1021-34</f>
        <v>987</v>
      </c>
    </row>
    <row r="101" spans="1:5" x14ac:dyDescent="0.3">
      <c r="A101" t="s">
        <v>25</v>
      </c>
      <c r="B101" s="1" t="s">
        <v>3</v>
      </c>
      <c r="C101">
        <v>4</v>
      </c>
      <c r="D101" s="1" t="s">
        <v>10</v>
      </c>
      <c r="E101" s="48">
        <f>1144
-37</f>
        <v>1107</v>
      </c>
    </row>
    <row r="102" spans="1:5" x14ac:dyDescent="0.3">
      <c r="A102" t="s">
        <v>25</v>
      </c>
      <c r="B102" s="1" t="s">
        <v>4</v>
      </c>
      <c r="C102">
        <v>5</v>
      </c>
      <c r="D102" s="1" t="s">
        <v>10</v>
      </c>
      <c r="E102" s="48">
        <f>863
-17</f>
        <v>846</v>
      </c>
    </row>
    <row r="103" spans="1:5" x14ac:dyDescent="0.3">
      <c r="A103" t="s">
        <v>25</v>
      </c>
      <c r="B103" s="1" t="s">
        <v>5</v>
      </c>
      <c r="C103">
        <v>6</v>
      </c>
      <c r="D103" s="1" t="s">
        <v>10</v>
      </c>
      <c r="E103" s="1">
        <f>1019-25</f>
        <v>994</v>
      </c>
    </row>
    <row r="104" spans="1:5" x14ac:dyDescent="0.3">
      <c r="A104" t="s">
        <v>25</v>
      </c>
      <c r="B104" s="1" t="s">
        <v>6</v>
      </c>
      <c r="C104">
        <v>7</v>
      </c>
      <c r="D104" s="1" t="s">
        <v>10</v>
      </c>
      <c r="E104" s="48">
        <f>791-29</f>
        <v>762</v>
      </c>
    </row>
    <row r="105" spans="1:5" x14ac:dyDescent="0.3">
      <c r="A105" t="s">
        <v>25</v>
      </c>
      <c r="B105" s="1" t="s">
        <v>7</v>
      </c>
      <c r="C105">
        <v>8</v>
      </c>
      <c r="D105" s="1" t="s">
        <v>10</v>
      </c>
      <c r="E105" s="1">
        <f>783-33</f>
        <v>750</v>
      </c>
    </row>
    <row r="106" spans="1:5" x14ac:dyDescent="0.3">
      <c r="A106" t="s">
        <v>25</v>
      </c>
      <c r="B106" s="1" t="s">
        <v>8</v>
      </c>
      <c r="C106">
        <v>9</v>
      </c>
      <c r="D106" s="1" t="s">
        <v>10</v>
      </c>
      <c r="E106" s="48">
        <v>803</v>
      </c>
    </row>
    <row r="107" spans="1:5" x14ac:dyDescent="0.3">
      <c r="A107" t="s">
        <v>25</v>
      </c>
      <c r="B107" s="8" t="s">
        <v>19</v>
      </c>
      <c r="C107">
        <v>10</v>
      </c>
      <c r="D107" s="1" t="s">
        <v>10</v>
      </c>
      <c r="E107" s="48">
        <f>879
-28</f>
        <v>851</v>
      </c>
    </row>
    <row r="108" spans="1:5" x14ac:dyDescent="0.3">
      <c r="A108" t="s">
        <v>25</v>
      </c>
      <c r="B108" s="8" t="s">
        <v>21</v>
      </c>
      <c r="C108">
        <v>11</v>
      </c>
      <c r="D108" s="1" t="s">
        <v>10</v>
      </c>
      <c r="E108" s="1">
        <f>776-29</f>
        <v>747</v>
      </c>
    </row>
    <row r="109" spans="1:5" x14ac:dyDescent="0.3">
      <c r="A109" t="s">
        <v>25</v>
      </c>
      <c r="B109" s="8" t="s">
        <v>20</v>
      </c>
      <c r="C109">
        <v>12</v>
      </c>
      <c r="D109" s="1" t="s">
        <v>10</v>
      </c>
      <c r="E109" s="48">
        <v>811</v>
      </c>
    </row>
    <row r="110" spans="1:5" x14ac:dyDescent="0.3">
      <c r="A110" s="13" t="s">
        <v>26</v>
      </c>
      <c r="B110" s="1" t="s">
        <v>0</v>
      </c>
      <c r="C110">
        <v>1</v>
      </c>
      <c r="D110" s="1" t="s">
        <v>10</v>
      </c>
      <c r="E110" s="1">
        <f>968-34</f>
        <v>934</v>
      </c>
    </row>
    <row r="111" spans="1:5" x14ac:dyDescent="0.3">
      <c r="A111" t="s">
        <v>26</v>
      </c>
      <c r="B111" s="1" t="s">
        <v>1</v>
      </c>
      <c r="C111">
        <v>2</v>
      </c>
      <c r="D111" s="1" t="s">
        <v>10</v>
      </c>
      <c r="E111" s="48">
        <v>899</v>
      </c>
    </row>
    <row r="112" spans="1:5" x14ac:dyDescent="0.3">
      <c r="A112" t="s">
        <v>26</v>
      </c>
      <c r="B112" s="1" t="s">
        <v>2</v>
      </c>
      <c r="C112">
        <v>3</v>
      </c>
      <c r="D112" s="1" t="s">
        <v>10</v>
      </c>
      <c r="E112" s="1">
        <f>1000-33</f>
        <v>967</v>
      </c>
    </row>
    <row r="113" spans="1:5" x14ac:dyDescent="0.3">
      <c r="A113" t="s">
        <v>26</v>
      </c>
      <c r="B113" s="1" t="s">
        <v>3</v>
      </c>
      <c r="C113">
        <v>4</v>
      </c>
      <c r="D113" s="1" t="s">
        <v>10</v>
      </c>
      <c r="E113" s="48">
        <f>1083
-31</f>
        <v>1052</v>
      </c>
    </row>
    <row r="114" spans="1:5" x14ac:dyDescent="0.3">
      <c r="A114" t="s">
        <v>26</v>
      </c>
      <c r="B114" s="1" t="s">
        <v>4</v>
      </c>
      <c r="C114">
        <v>5</v>
      </c>
      <c r="D114" s="1" t="s">
        <v>10</v>
      </c>
      <c r="E114" s="48">
        <f>884-22</f>
        <v>862</v>
      </c>
    </row>
    <row r="115" spans="1:5" x14ac:dyDescent="0.3">
      <c r="A115" t="s">
        <v>26</v>
      </c>
      <c r="B115" s="1" t="s">
        <v>5</v>
      </c>
      <c r="C115">
        <v>6</v>
      </c>
      <c r="D115" s="1" t="s">
        <v>10</v>
      </c>
      <c r="E115" s="1">
        <f>927-34</f>
        <v>893</v>
      </c>
    </row>
    <row r="116" spans="1:5" x14ac:dyDescent="0.3">
      <c r="A116" t="s">
        <v>26</v>
      </c>
      <c r="B116" s="1" t="s">
        <v>6</v>
      </c>
      <c r="C116">
        <v>7</v>
      </c>
      <c r="D116" s="1" t="s">
        <v>10</v>
      </c>
      <c r="E116" s="48">
        <f>614
-23</f>
        <v>591</v>
      </c>
    </row>
    <row r="117" spans="1:5" x14ac:dyDescent="0.3">
      <c r="A117" t="s">
        <v>26</v>
      </c>
      <c r="B117" s="1" t="s">
        <v>7</v>
      </c>
      <c r="C117">
        <v>8</v>
      </c>
      <c r="D117" s="1" t="s">
        <v>10</v>
      </c>
      <c r="E117" s="1">
        <f>869-34</f>
        <v>835</v>
      </c>
    </row>
    <row r="118" spans="1:5" x14ac:dyDescent="0.3">
      <c r="A118" t="s">
        <v>26</v>
      </c>
      <c r="B118" s="1" t="s">
        <v>8</v>
      </c>
      <c r="C118">
        <v>9</v>
      </c>
      <c r="D118" s="1" t="s">
        <v>10</v>
      </c>
      <c r="E118" s="48">
        <f>917
-26</f>
        <v>891</v>
      </c>
    </row>
    <row r="119" spans="1:5" x14ac:dyDescent="0.3">
      <c r="A119" t="s">
        <v>26</v>
      </c>
      <c r="B119" s="8" t="s">
        <v>19</v>
      </c>
      <c r="C119">
        <v>10</v>
      </c>
      <c r="D119" s="1" t="s">
        <v>10</v>
      </c>
      <c r="E119" s="48">
        <f>763
-27</f>
        <v>736</v>
      </c>
    </row>
    <row r="120" spans="1:5" x14ac:dyDescent="0.3">
      <c r="A120" t="s">
        <v>26</v>
      </c>
      <c r="B120" s="8" t="s">
        <v>21</v>
      </c>
      <c r="C120">
        <v>11</v>
      </c>
      <c r="D120" s="1" t="s">
        <v>10</v>
      </c>
      <c r="E120" s="1">
        <f>821-28</f>
        <v>793</v>
      </c>
    </row>
    <row r="121" spans="1:5" x14ac:dyDescent="0.3">
      <c r="A121" t="s">
        <v>26</v>
      </c>
      <c r="B121" s="8" t="s">
        <v>20</v>
      </c>
      <c r="C121">
        <v>12</v>
      </c>
      <c r="D121" s="1" t="s">
        <v>10</v>
      </c>
      <c r="E121" s="48">
        <f>803
-36</f>
        <v>767</v>
      </c>
    </row>
    <row r="122" spans="1:5" x14ac:dyDescent="0.3">
      <c r="A122" s="13" t="s">
        <v>22</v>
      </c>
      <c r="B122" s="1" t="s">
        <v>0</v>
      </c>
      <c r="C122">
        <v>1</v>
      </c>
      <c r="D122" s="2" t="s">
        <v>14</v>
      </c>
      <c r="E122" s="1">
        <f>452-5</f>
        <v>447</v>
      </c>
    </row>
    <row r="123" spans="1:5" x14ac:dyDescent="0.3">
      <c r="A123" t="s">
        <v>22</v>
      </c>
      <c r="B123" s="1" t="s">
        <v>1</v>
      </c>
      <c r="C123">
        <v>2</v>
      </c>
      <c r="D123" s="1" t="s">
        <v>14</v>
      </c>
      <c r="E123" s="48">
        <f>399-3</f>
        <v>396</v>
      </c>
    </row>
    <row r="124" spans="1:5" x14ac:dyDescent="0.3">
      <c r="A124" t="s">
        <v>22</v>
      </c>
      <c r="B124" s="1" t="s">
        <v>2</v>
      </c>
      <c r="C124">
        <v>3</v>
      </c>
      <c r="D124" s="1" t="s">
        <v>14</v>
      </c>
      <c r="E124" s="1">
        <f>670-9</f>
        <v>661</v>
      </c>
    </row>
    <row r="125" spans="1:5" x14ac:dyDescent="0.3">
      <c r="A125" t="s">
        <v>22</v>
      </c>
      <c r="B125" s="1" t="s">
        <v>3</v>
      </c>
      <c r="C125">
        <v>4</v>
      </c>
      <c r="D125" s="1" t="s">
        <v>14</v>
      </c>
      <c r="E125" s="48">
        <f>700-16</f>
        <v>684</v>
      </c>
    </row>
    <row r="126" spans="1:5" x14ac:dyDescent="0.3">
      <c r="A126" t="s">
        <v>22</v>
      </c>
      <c r="B126" s="1" t="s">
        <v>4</v>
      </c>
      <c r="C126">
        <v>5</v>
      </c>
      <c r="D126" s="1" t="s">
        <v>14</v>
      </c>
      <c r="E126" s="48">
        <f>680
-12</f>
        <v>668</v>
      </c>
    </row>
    <row r="127" spans="1:5" x14ac:dyDescent="0.3">
      <c r="A127" t="s">
        <v>22</v>
      </c>
      <c r="B127" s="1" t="s">
        <v>5</v>
      </c>
      <c r="C127">
        <v>6</v>
      </c>
      <c r="D127" s="1" t="s">
        <v>14</v>
      </c>
      <c r="E127" s="4">
        <f>704-13</f>
        <v>691</v>
      </c>
    </row>
    <row r="128" spans="1:5" x14ac:dyDescent="0.3">
      <c r="A128" t="s">
        <v>22</v>
      </c>
      <c r="B128" s="1" t="s">
        <v>6</v>
      </c>
      <c r="C128">
        <v>7</v>
      </c>
      <c r="D128" s="1" t="s">
        <v>14</v>
      </c>
      <c r="E128" s="48">
        <f>641-7</f>
        <v>634</v>
      </c>
    </row>
    <row r="129" spans="1:5" x14ac:dyDescent="0.3">
      <c r="A129" t="s">
        <v>22</v>
      </c>
      <c r="B129" s="1" t="s">
        <v>7</v>
      </c>
      <c r="C129">
        <v>8</v>
      </c>
      <c r="D129" s="1" t="s">
        <v>14</v>
      </c>
      <c r="E129" s="1">
        <f>583-7</f>
        <v>576</v>
      </c>
    </row>
    <row r="130" spans="1:5" x14ac:dyDescent="0.3">
      <c r="A130" t="s">
        <v>22</v>
      </c>
      <c r="B130" s="1" t="s">
        <v>8</v>
      </c>
      <c r="C130">
        <v>9</v>
      </c>
      <c r="D130" s="1" t="s">
        <v>14</v>
      </c>
      <c r="E130" s="48">
        <f>623-11</f>
        <v>612</v>
      </c>
    </row>
    <row r="131" spans="1:5" x14ac:dyDescent="0.3">
      <c r="A131" t="s">
        <v>22</v>
      </c>
      <c r="B131" s="8" t="s">
        <v>19</v>
      </c>
      <c r="C131">
        <v>10</v>
      </c>
      <c r="D131" s="1" t="s">
        <v>14</v>
      </c>
      <c r="E131" s="48">
        <f>528
-13</f>
        <v>515</v>
      </c>
    </row>
    <row r="132" spans="1:5" x14ac:dyDescent="0.3">
      <c r="A132" t="s">
        <v>22</v>
      </c>
      <c r="B132" s="8" t="s">
        <v>21</v>
      </c>
      <c r="C132">
        <v>11</v>
      </c>
      <c r="D132" s="1" t="s">
        <v>14</v>
      </c>
      <c r="E132" s="1">
        <v>612</v>
      </c>
    </row>
    <row r="133" spans="1:5" x14ac:dyDescent="0.3">
      <c r="A133" t="s">
        <v>22</v>
      </c>
      <c r="B133" s="8" t="s">
        <v>20</v>
      </c>
      <c r="C133">
        <v>12</v>
      </c>
      <c r="D133" s="1" t="s">
        <v>14</v>
      </c>
      <c r="E133" s="48">
        <f>779
-13</f>
        <v>766</v>
      </c>
    </row>
    <row r="134" spans="1:5" x14ac:dyDescent="0.3">
      <c r="A134" s="13" t="s">
        <v>23</v>
      </c>
      <c r="B134" s="1" t="s">
        <v>0</v>
      </c>
      <c r="C134">
        <v>1</v>
      </c>
      <c r="D134" s="1" t="s">
        <v>14</v>
      </c>
      <c r="E134" s="1">
        <v>574</v>
      </c>
    </row>
    <row r="135" spans="1:5" x14ac:dyDescent="0.3">
      <c r="A135" t="s">
        <v>23</v>
      </c>
      <c r="B135" s="1" t="s">
        <v>1</v>
      </c>
      <c r="C135">
        <v>2</v>
      </c>
      <c r="D135" s="1" t="s">
        <v>14</v>
      </c>
      <c r="E135" s="49">
        <v>650</v>
      </c>
    </row>
    <row r="136" spans="1:5" x14ac:dyDescent="0.3">
      <c r="A136" t="s">
        <v>23</v>
      </c>
      <c r="B136" s="1" t="s">
        <v>2</v>
      </c>
      <c r="C136">
        <v>3</v>
      </c>
      <c r="D136" s="1" t="s">
        <v>14</v>
      </c>
      <c r="E136" s="1">
        <f>652-7</f>
        <v>645</v>
      </c>
    </row>
    <row r="137" spans="1:5" x14ac:dyDescent="0.3">
      <c r="A137" t="s">
        <v>23</v>
      </c>
      <c r="B137" s="1" t="s">
        <v>3</v>
      </c>
      <c r="C137">
        <v>4</v>
      </c>
      <c r="D137" s="1" t="s">
        <v>14</v>
      </c>
      <c r="E137" s="48">
        <v>750</v>
      </c>
    </row>
    <row r="138" spans="1:5" x14ac:dyDescent="0.3">
      <c r="A138" t="s">
        <v>23</v>
      </c>
      <c r="B138" s="1" t="s">
        <v>4</v>
      </c>
      <c r="C138">
        <v>5</v>
      </c>
      <c r="D138" s="1" t="s">
        <v>14</v>
      </c>
      <c r="E138" s="48">
        <v>565</v>
      </c>
    </row>
    <row r="139" spans="1:5" x14ac:dyDescent="0.3">
      <c r="A139" t="s">
        <v>23</v>
      </c>
      <c r="B139" s="1" t="s">
        <v>5</v>
      </c>
      <c r="C139">
        <v>6</v>
      </c>
      <c r="D139" s="1" t="s">
        <v>14</v>
      </c>
      <c r="E139" s="4">
        <v>745</v>
      </c>
    </row>
    <row r="140" spans="1:5" x14ac:dyDescent="0.3">
      <c r="A140" t="s">
        <v>23</v>
      </c>
      <c r="B140" s="1" t="s">
        <v>6</v>
      </c>
      <c r="C140">
        <v>7</v>
      </c>
      <c r="D140" s="1" t="s">
        <v>14</v>
      </c>
      <c r="E140" s="48">
        <f>523
-7</f>
        <v>516</v>
      </c>
    </row>
    <row r="141" spans="1:5" x14ac:dyDescent="0.3">
      <c r="A141" t="s">
        <v>23</v>
      </c>
      <c r="B141" s="1" t="s">
        <v>7</v>
      </c>
      <c r="C141">
        <v>8</v>
      </c>
      <c r="D141" s="1" t="s">
        <v>14</v>
      </c>
      <c r="E141" s="1">
        <f>769-12</f>
        <v>757</v>
      </c>
    </row>
    <row r="142" spans="1:5" x14ac:dyDescent="0.3">
      <c r="A142" t="s">
        <v>23</v>
      </c>
      <c r="B142" s="1" t="s">
        <v>8</v>
      </c>
      <c r="C142">
        <v>9</v>
      </c>
      <c r="D142" s="1" t="s">
        <v>14</v>
      </c>
      <c r="E142" s="48">
        <v>676</v>
      </c>
    </row>
    <row r="143" spans="1:5" x14ac:dyDescent="0.3">
      <c r="A143" t="s">
        <v>23</v>
      </c>
      <c r="B143" s="8" t="s">
        <v>19</v>
      </c>
      <c r="C143">
        <v>10</v>
      </c>
      <c r="D143" s="1" t="s">
        <v>14</v>
      </c>
      <c r="E143" s="48">
        <v>611</v>
      </c>
    </row>
    <row r="144" spans="1:5" x14ac:dyDescent="0.3">
      <c r="A144" t="s">
        <v>23</v>
      </c>
      <c r="B144" s="8" t="s">
        <v>21</v>
      </c>
      <c r="C144">
        <v>11</v>
      </c>
      <c r="D144" s="1" t="s">
        <v>14</v>
      </c>
      <c r="E144" s="1">
        <f>766-13</f>
        <v>753</v>
      </c>
    </row>
    <row r="145" spans="1:5" x14ac:dyDescent="0.3">
      <c r="A145" t="s">
        <v>23</v>
      </c>
      <c r="B145" s="8" t="s">
        <v>20</v>
      </c>
      <c r="C145">
        <v>12</v>
      </c>
      <c r="D145" s="1" t="s">
        <v>14</v>
      </c>
      <c r="E145" s="48">
        <f>749
-11</f>
        <v>738</v>
      </c>
    </row>
    <row r="146" spans="1:5" x14ac:dyDescent="0.3">
      <c r="A146" s="13" t="s">
        <v>24</v>
      </c>
      <c r="B146" s="1" t="s">
        <v>0</v>
      </c>
      <c r="C146">
        <v>1</v>
      </c>
      <c r="D146" s="1" t="s">
        <v>14</v>
      </c>
      <c r="E146" s="1">
        <f>644-6</f>
        <v>638</v>
      </c>
    </row>
    <row r="147" spans="1:5" x14ac:dyDescent="0.3">
      <c r="A147" t="s">
        <v>24</v>
      </c>
      <c r="B147" s="1" t="s">
        <v>1</v>
      </c>
      <c r="C147">
        <v>2</v>
      </c>
      <c r="D147" s="1" t="s">
        <v>14</v>
      </c>
      <c r="E147" s="48">
        <f>597
-13</f>
        <v>584</v>
      </c>
    </row>
    <row r="148" spans="1:5" x14ac:dyDescent="0.3">
      <c r="A148" t="s">
        <v>24</v>
      </c>
      <c r="B148" s="1" t="s">
        <v>2</v>
      </c>
      <c r="C148">
        <v>3</v>
      </c>
      <c r="D148" s="1" t="s">
        <v>14</v>
      </c>
      <c r="E148" s="1">
        <f>581-8</f>
        <v>573</v>
      </c>
    </row>
    <row r="149" spans="1:5" x14ac:dyDescent="0.3">
      <c r="A149" t="s">
        <v>24</v>
      </c>
      <c r="B149" s="1" t="s">
        <v>3</v>
      </c>
      <c r="C149">
        <v>4</v>
      </c>
      <c r="D149" s="1" t="s">
        <v>14</v>
      </c>
      <c r="E149" s="48">
        <v>703</v>
      </c>
    </row>
    <row r="150" spans="1:5" x14ac:dyDescent="0.3">
      <c r="A150" t="s">
        <v>24</v>
      </c>
      <c r="B150" s="1" t="s">
        <v>4</v>
      </c>
      <c r="C150">
        <v>5</v>
      </c>
      <c r="D150" s="1" t="s">
        <v>14</v>
      </c>
      <c r="E150" s="48">
        <v>720</v>
      </c>
    </row>
    <row r="151" spans="1:5" x14ac:dyDescent="0.3">
      <c r="A151" t="s">
        <v>24</v>
      </c>
      <c r="B151" s="1" t="s">
        <v>5</v>
      </c>
      <c r="C151">
        <v>6</v>
      </c>
      <c r="D151" s="1" t="s">
        <v>14</v>
      </c>
      <c r="E151" s="4">
        <f>663-8</f>
        <v>655</v>
      </c>
    </row>
    <row r="152" spans="1:5" x14ac:dyDescent="0.3">
      <c r="A152" t="s">
        <v>24</v>
      </c>
      <c r="B152" s="1" t="s">
        <v>6</v>
      </c>
      <c r="C152">
        <v>7</v>
      </c>
      <c r="D152" s="1" t="s">
        <v>14</v>
      </c>
      <c r="E152" s="48">
        <v>691</v>
      </c>
    </row>
    <row r="153" spans="1:5" x14ac:dyDescent="0.3">
      <c r="A153" t="s">
        <v>24</v>
      </c>
      <c r="B153" s="1" t="s">
        <v>7</v>
      </c>
      <c r="C153">
        <v>8</v>
      </c>
      <c r="D153" s="1" t="s">
        <v>14</v>
      </c>
      <c r="E153" s="1">
        <f>532-9</f>
        <v>523</v>
      </c>
    </row>
    <row r="154" spans="1:5" x14ac:dyDescent="0.3">
      <c r="A154" t="s">
        <v>24</v>
      </c>
      <c r="B154" s="1" t="s">
        <v>8</v>
      </c>
      <c r="C154">
        <v>9</v>
      </c>
      <c r="D154" s="1" t="s">
        <v>14</v>
      </c>
      <c r="E154" s="48">
        <f>695-9</f>
        <v>686</v>
      </c>
    </row>
    <row r="155" spans="1:5" x14ac:dyDescent="0.3">
      <c r="A155" t="s">
        <v>24</v>
      </c>
      <c r="B155" s="8" t="s">
        <v>19</v>
      </c>
      <c r="C155">
        <v>10</v>
      </c>
      <c r="D155" s="1" t="s">
        <v>14</v>
      </c>
      <c r="E155" s="48">
        <v>682</v>
      </c>
    </row>
    <row r="156" spans="1:5" x14ac:dyDescent="0.3">
      <c r="A156" t="s">
        <v>24</v>
      </c>
      <c r="B156" s="8" t="s">
        <v>21</v>
      </c>
      <c r="C156">
        <v>11</v>
      </c>
      <c r="D156" s="1" t="s">
        <v>14</v>
      </c>
      <c r="E156" s="1">
        <f>811-9</f>
        <v>802</v>
      </c>
    </row>
    <row r="157" spans="1:5" x14ac:dyDescent="0.3">
      <c r="A157" t="s">
        <v>24</v>
      </c>
      <c r="B157" s="8" t="s">
        <v>20</v>
      </c>
      <c r="C157">
        <v>12</v>
      </c>
      <c r="D157" s="1" t="s">
        <v>14</v>
      </c>
      <c r="E157" s="48">
        <f>849
-17</f>
        <v>832</v>
      </c>
    </row>
    <row r="158" spans="1:5" x14ac:dyDescent="0.3">
      <c r="A158" s="13" t="s">
        <v>25</v>
      </c>
      <c r="B158" s="1" t="s">
        <v>0</v>
      </c>
      <c r="C158">
        <v>1</v>
      </c>
      <c r="D158" s="1" t="s">
        <v>14</v>
      </c>
      <c r="E158" s="1">
        <f>768-11</f>
        <v>757</v>
      </c>
    </row>
    <row r="159" spans="1:5" x14ac:dyDescent="0.3">
      <c r="A159" t="s">
        <v>25</v>
      </c>
      <c r="B159" s="1" t="s">
        <v>1</v>
      </c>
      <c r="C159">
        <v>2</v>
      </c>
      <c r="D159" s="1" t="s">
        <v>14</v>
      </c>
      <c r="E159" s="48">
        <v>619</v>
      </c>
    </row>
    <row r="160" spans="1:5" x14ac:dyDescent="0.3">
      <c r="A160" t="s">
        <v>25</v>
      </c>
      <c r="B160" s="1" t="s">
        <v>2</v>
      </c>
      <c r="C160">
        <v>3</v>
      </c>
      <c r="D160" s="1" t="s">
        <v>14</v>
      </c>
      <c r="E160" s="1">
        <f>602-10</f>
        <v>592</v>
      </c>
    </row>
    <row r="161" spans="1:5" x14ac:dyDescent="0.3">
      <c r="A161" t="s">
        <v>25</v>
      </c>
      <c r="B161" s="1" t="s">
        <v>3</v>
      </c>
      <c r="C161">
        <v>4</v>
      </c>
      <c r="D161" s="1" t="s">
        <v>14</v>
      </c>
      <c r="E161" s="48">
        <v>688</v>
      </c>
    </row>
    <row r="162" spans="1:5" x14ac:dyDescent="0.3">
      <c r="A162" t="s">
        <v>25</v>
      </c>
      <c r="B162" s="1" t="s">
        <v>4</v>
      </c>
      <c r="C162">
        <v>5</v>
      </c>
      <c r="D162" s="1" t="s">
        <v>14</v>
      </c>
      <c r="E162" s="48">
        <v>629</v>
      </c>
    </row>
    <row r="163" spans="1:5" x14ac:dyDescent="0.3">
      <c r="A163" t="s">
        <v>25</v>
      </c>
      <c r="B163" s="1" t="s">
        <v>5</v>
      </c>
      <c r="C163">
        <v>6</v>
      </c>
      <c r="D163" s="1" t="s">
        <v>14</v>
      </c>
      <c r="E163" s="4">
        <f>731-11</f>
        <v>720</v>
      </c>
    </row>
    <row r="164" spans="1:5" x14ac:dyDescent="0.3">
      <c r="A164" t="s">
        <v>25</v>
      </c>
      <c r="B164" s="1" t="s">
        <v>6</v>
      </c>
      <c r="C164">
        <v>7</v>
      </c>
      <c r="D164" s="1" t="s">
        <v>14</v>
      </c>
      <c r="E164" s="48">
        <v>566</v>
      </c>
    </row>
    <row r="165" spans="1:5" x14ac:dyDescent="0.3">
      <c r="A165" t="s">
        <v>25</v>
      </c>
      <c r="B165" s="1" t="s">
        <v>7</v>
      </c>
      <c r="C165">
        <v>8</v>
      </c>
      <c r="D165" s="1" t="s">
        <v>14</v>
      </c>
      <c r="E165" s="4">
        <f>578-9</f>
        <v>569</v>
      </c>
    </row>
    <row r="166" spans="1:5" x14ac:dyDescent="0.3">
      <c r="A166" t="s">
        <v>25</v>
      </c>
      <c r="B166" s="1" t="s">
        <v>8</v>
      </c>
      <c r="C166">
        <v>9</v>
      </c>
      <c r="D166" s="1" t="s">
        <v>14</v>
      </c>
      <c r="E166" s="48">
        <v>584</v>
      </c>
    </row>
    <row r="167" spans="1:5" x14ac:dyDescent="0.3">
      <c r="A167" t="s">
        <v>25</v>
      </c>
      <c r="B167" s="8" t="s">
        <v>19</v>
      </c>
      <c r="C167">
        <v>10</v>
      </c>
      <c r="D167" s="1" t="s">
        <v>14</v>
      </c>
      <c r="E167" s="48">
        <f>569
-13</f>
        <v>556</v>
      </c>
    </row>
    <row r="168" spans="1:5" x14ac:dyDescent="0.3">
      <c r="A168" t="s">
        <v>25</v>
      </c>
      <c r="B168" s="8" t="s">
        <v>21</v>
      </c>
      <c r="C168">
        <v>11</v>
      </c>
      <c r="D168" s="1" t="s">
        <v>14</v>
      </c>
      <c r="E168" s="1">
        <v>625</v>
      </c>
    </row>
    <row r="169" spans="1:5" x14ac:dyDescent="0.3">
      <c r="A169" t="s">
        <v>25</v>
      </c>
      <c r="B169" s="8" t="s">
        <v>20</v>
      </c>
      <c r="C169">
        <v>12</v>
      </c>
      <c r="D169" s="1" t="s">
        <v>14</v>
      </c>
      <c r="E169" s="48">
        <v>681</v>
      </c>
    </row>
    <row r="170" spans="1:5" x14ac:dyDescent="0.3">
      <c r="A170" s="13" t="s">
        <v>26</v>
      </c>
      <c r="B170" s="1" t="s">
        <v>0</v>
      </c>
      <c r="C170">
        <v>1</v>
      </c>
      <c r="D170" s="1" t="s">
        <v>14</v>
      </c>
      <c r="E170" s="1">
        <f>565-6</f>
        <v>559</v>
      </c>
    </row>
    <row r="171" spans="1:5" x14ac:dyDescent="0.3">
      <c r="A171" t="s">
        <v>26</v>
      </c>
      <c r="B171" s="1" t="s">
        <v>1</v>
      </c>
      <c r="C171">
        <v>2</v>
      </c>
      <c r="D171" s="1" t="s">
        <v>14</v>
      </c>
      <c r="E171" s="48">
        <v>583</v>
      </c>
    </row>
    <row r="172" spans="1:5" x14ac:dyDescent="0.3">
      <c r="A172" t="s">
        <v>26</v>
      </c>
      <c r="B172" s="1" t="s">
        <v>2</v>
      </c>
      <c r="C172">
        <v>3</v>
      </c>
      <c r="D172" s="1" t="s">
        <v>14</v>
      </c>
      <c r="E172" s="1">
        <v>514</v>
      </c>
    </row>
    <row r="173" spans="1:5" x14ac:dyDescent="0.3">
      <c r="A173" t="s">
        <v>26</v>
      </c>
      <c r="B173" s="1" t="s">
        <v>3</v>
      </c>
      <c r="C173">
        <v>4</v>
      </c>
      <c r="D173" s="1" t="s">
        <v>14</v>
      </c>
      <c r="E173" s="48">
        <v>712</v>
      </c>
    </row>
    <row r="174" spans="1:5" x14ac:dyDescent="0.3">
      <c r="A174" t="s">
        <v>26</v>
      </c>
      <c r="B174" s="1" t="s">
        <v>4</v>
      </c>
      <c r="C174">
        <v>5</v>
      </c>
      <c r="D174" s="1" t="s">
        <v>14</v>
      </c>
      <c r="E174" s="48">
        <v>519</v>
      </c>
    </row>
    <row r="175" spans="1:5" x14ac:dyDescent="0.3">
      <c r="A175" t="s">
        <v>26</v>
      </c>
      <c r="B175" s="1" t="s">
        <v>5</v>
      </c>
      <c r="C175">
        <v>6</v>
      </c>
      <c r="D175" s="1" t="s">
        <v>14</v>
      </c>
      <c r="E175" s="4">
        <v>631</v>
      </c>
    </row>
    <row r="176" spans="1:5" x14ac:dyDescent="0.3">
      <c r="A176" t="s">
        <v>26</v>
      </c>
      <c r="B176" s="1" t="s">
        <v>6</v>
      </c>
      <c r="C176">
        <v>7</v>
      </c>
      <c r="D176" s="1" t="s">
        <v>14</v>
      </c>
      <c r="E176" s="48">
        <v>446</v>
      </c>
    </row>
    <row r="177" spans="1:5" x14ac:dyDescent="0.3">
      <c r="A177" t="s">
        <v>26</v>
      </c>
      <c r="B177" s="1" t="s">
        <v>7</v>
      </c>
      <c r="C177">
        <v>8</v>
      </c>
      <c r="D177" s="1" t="s">
        <v>14</v>
      </c>
      <c r="E177" s="4">
        <v>543</v>
      </c>
    </row>
    <row r="178" spans="1:5" x14ac:dyDescent="0.3">
      <c r="A178" t="s">
        <v>26</v>
      </c>
      <c r="B178" s="1" t="s">
        <v>8</v>
      </c>
      <c r="C178">
        <v>9</v>
      </c>
      <c r="D178" s="1" t="s">
        <v>14</v>
      </c>
      <c r="E178" s="48">
        <v>672</v>
      </c>
    </row>
    <row r="179" spans="1:5" x14ac:dyDescent="0.3">
      <c r="A179" t="s">
        <v>26</v>
      </c>
      <c r="B179" s="8" t="s">
        <v>19</v>
      </c>
      <c r="C179">
        <v>10</v>
      </c>
      <c r="D179" s="1" t="s">
        <v>14</v>
      </c>
      <c r="E179" s="48">
        <v>563</v>
      </c>
    </row>
    <row r="180" spans="1:5" x14ac:dyDescent="0.3">
      <c r="A180" t="s">
        <v>26</v>
      </c>
      <c r="B180" s="8" t="s">
        <v>21</v>
      </c>
      <c r="C180">
        <v>11</v>
      </c>
      <c r="D180" s="1" t="s">
        <v>14</v>
      </c>
      <c r="E180" s="1">
        <f>617-12</f>
        <v>605</v>
      </c>
    </row>
    <row r="181" spans="1:5" x14ac:dyDescent="0.3">
      <c r="A181" t="s">
        <v>26</v>
      </c>
      <c r="B181" s="8" t="s">
        <v>20</v>
      </c>
      <c r="C181">
        <v>12</v>
      </c>
      <c r="D181" s="1" t="s">
        <v>14</v>
      </c>
      <c r="E181" s="48">
        <v>587</v>
      </c>
    </row>
    <row r="182" spans="1:5" x14ac:dyDescent="0.3">
      <c r="A182" s="13" t="s">
        <v>22</v>
      </c>
      <c r="B182" s="1" t="s">
        <v>0</v>
      </c>
      <c r="C182">
        <v>1</v>
      </c>
      <c r="D182" s="2" t="s">
        <v>13</v>
      </c>
      <c r="E182" s="1">
        <f>287-7</f>
        <v>280</v>
      </c>
    </row>
    <row r="183" spans="1:5" x14ac:dyDescent="0.3">
      <c r="A183" t="s">
        <v>22</v>
      </c>
      <c r="B183" s="1" t="s">
        <v>1</v>
      </c>
      <c r="C183">
        <v>2</v>
      </c>
      <c r="D183" s="1" t="s">
        <v>13</v>
      </c>
      <c r="E183" s="48">
        <v>260</v>
      </c>
    </row>
    <row r="184" spans="1:5" x14ac:dyDescent="0.3">
      <c r="A184" t="s">
        <v>22</v>
      </c>
      <c r="B184" s="1" t="s">
        <v>2</v>
      </c>
      <c r="C184">
        <v>3</v>
      </c>
      <c r="D184" s="1" t="s">
        <v>13</v>
      </c>
      <c r="E184" s="1">
        <f>428-4</f>
        <v>424</v>
      </c>
    </row>
    <row r="185" spans="1:5" x14ac:dyDescent="0.3">
      <c r="A185" t="s">
        <v>22</v>
      </c>
      <c r="B185" s="1" t="s">
        <v>3</v>
      </c>
      <c r="C185">
        <v>4</v>
      </c>
      <c r="D185" s="1" t="s">
        <v>13</v>
      </c>
      <c r="E185" s="48">
        <f>469-8</f>
        <v>461</v>
      </c>
    </row>
    <row r="186" spans="1:5" x14ac:dyDescent="0.3">
      <c r="A186" t="s">
        <v>22</v>
      </c>
      <c r="B186" s="1" t="s">
        <v>4</v>
      </c>
      <c r="C186">
        <v>5</v>
      </c>
      <c r="D186" s="1" t="s">
        <v>13</v>
      </c>
      <c r="E186" s="48">
        <v>395</v>
      </c>
    </row>
    <row r="187" spans="1:5" x14ac:dyDescent="0.3">
      <c r="A187" t="s">
        <v>22</v>
      </c>
      <c r="B187" s="1" t="s">
        <v>5</v>
      </c>
      <c r="C187">
        <v>6</v>
      </c>
      <c r="D187" s="1" t="s">
        <v>13</v>
      </c>
      <c r="E187" s="1">
        <f>407-6</f>
        <v>401</v>
      </c>
    </row>
    <row r="188" spans="1:5" x14ac:dyDescent="0.3">
      <c r="A188" t="s">
        <v>22</v>
      </c>
      <c r="B188" s="1" t="s">
        <v>6</v>
      </c>
      <c r="C188">
        <v>7</v>
      </c>
      <c r="D188" s="1" t="s">
        <v>13</v>
      </c>
      <c r="E188" s="48">
        <f>413
-6</f>
        <v>407</v>
      </c>
    </row>
    <row r="189" spans="1:5" x14ac:dyDescent="0.3">
      <c r="A189" t="s">
        <v>22</v>
      </c>
      <c r="B189" s="1" t="s">
        <v>7</v>
      </c>
      <c r="C189">
        <v>8</v>
      </c>
      <c r="D189" s="1" t="s">
        <v>13</v>
      </c>
      <c r="E189" s="1">
        <v>371</v>
      </c>
    </row>
    <row r="190" spans="1:5" x14ac:dyDescent="0.3">
      <c r="A190" t="s">
        <v>22</v>
      </c>
      <c r="B190" s="1" t="s">
        <v>8</v>
      </c>
      <c r="C190">
        <v>9</v>
      </c>
      <c r="D190" s="1" t="s">
        <v>13</v>
      </c>
      <c r="E190" s="48">
        <f>447
-5</f>
        <v>442</v>
      </c>
    </row>
    <row r="191" spans="1:5" x14ac:dyDescent="0.3">
      <c r="A191" t="s">
        <v>22</v>
      </c>
      <c r="B191" s="8" t="s">
        <v>19</v>
      </c>
      <c r="C191">
        <v>10</v>
      </c>
      <c r="D191" s="1" t="s">
        <v>13</v>
      </c>
      <c r="E191" s="48">
        <v>330</v>
      </c>
    </row>
    <row r="192" spans="1:5" x14ac:dyDescent="0.3">
      <c r="A192" t="s">
        <v>22</v>
      </c>
      <c r="B192" s="8" t="s">
        <v>21</v>
      </c>
      <c r="C192">
        <v>11</v>
      </c>
      <c r="D192" s="1" t="s">
        <v>13</v>
      </c>
      <c r="E192" s="1">
        <v>400</v>
      </c>
    </row>
    <row r="193" spans="1:5" x14ac:dyDescent="0.3">
      <c r="A193" t="s">
        <v>22</v>
      </c>
      <c r="B193" s="8" t="s">
        <v>20</v>
      </c>
      <c r="C193">
        <v>12</v>
      </c>
      <c r="D193" s="1" t="s">
        <v>13</v>
      </c>
      <c r="E193" s="48">
        <v>536</v>
      </c>
    </row>
    <row r="194" spans="1:5" x14ac:dyDescent="0.3">
      <c r="A194" s="13" t="s">
        <v>23</v>
      </c>
      <c r="B194" s="1" t="s">
        <v>0</v>
      </c>
      <c r="C194">
        <v>1</v>
      </c>
      <c r="D194" s="1" t="s">
        <v>13</v>
      </c>
      <c r="E194" s="1">
        <f>428-5</f>
        <v>423</v>
      </c>
    </row>
    <row r="195" spans="1:5" x14ac:dyDescent="0.3">
      <c r="A195" t="s">
        <v>23</v>
      </c>
      <c r="B195" s="1" t="s">
        <v>1</v>
      </c>
      <c r="C195">
        <v>2</v>
      </c>
      <c r="D195" s="1" t="s">
        <v>13</v>
      </c>
      <c r="E195" s="48">
        <v>443</v>
      </c>
    </row>
    <row r="196" spans="1:5" x14ac:dyDescent="0.3">
      <c r="A196" t="s">
        <v>23</v>
      </c>
      <c r="B196" s="1" t="s">
        <v>2</v>
      </c>
      <c r="C196">
        <v>3</v>
      </c>
      <c r="D196" s="1" t="s">
        <v>13</v>
      </c>
      <c r="E196" s="1">
        <f>382-4</f>
        <v>378</v>
      </c>
    </row>
    <row r="197" spans="1:5" x14ac:dyDescent="0.3">
      <c r="A197" t="s">
        <v>23</v>
      </c>
      <c r="B197" s="1" t="s">
        <v>3</v>
      </c>
      <c r="C197">
        <v>4</v>
      </c>
      <c r="D197" s="1" t="s">
        <v>13</v>
      </c>
      <c r="E197" s="48">
        <v>248</v>
      </c>
    </row>
    <row r="198" spans="1:5" x14ac:dyDescent="0.3">
      <c r="A198" t="s">
        <v>23</v>
      </c>
      <c r="B198" s="1" t="s">
        <v>4</v>
      </c>
      <c r="C198">
        <v>5</v>
      </c>
      <c r="D198" s="1" t="s">
        <v>13</v>
      </c>
      <c r="E198" s="48">
        <v>305</v>
      </c>
    </row>
    <row r="199" spans="1:5" x14ac:dyDescent="0.3">
      <c r="A199" t="s">
        <v>23</v>
      </c>
      <c r="B199" s="1" t="s">
        <v>5</v>
      </c>
      <c r="C199">
        <v>6</v>
      </c>
      <c r="D199" s="1" t="s">
        <v>13</v>
      </c>
      <c r="E199" s="1">
        <v>437</v>
      </c>
    </row>
    <row r="200" spans="1:5" x14ac:dyDescent="0.3">
      <c r="A200" t="s">
        <v>23</v>
      </c>
      <c r="B200" s="1" t="s">
        <v>6</v>
      </c>
      <c r="C200">
        <v>7</v>
      </c>
      <c r="D200" s="1" t="s">
        <v>13</v>
      </c>
      <c r="E200" s="48">
        <v>287</v>
      </c>
    </row>
    <row r="201" spans="1:5" x14ac:dyDescent="0.3">
      <c r="A201" t="s">
        <v>23</v>
      </c>
      <c r="B201" s="1" t="s">
        <v>7</v>
      </c>
      <c r="C201">
        <v>8</v>
      </c>
      <c r="D201" s="1" t="s">
        <v>13</v>
      </c>
      <c r="E201" s="1">
        <v>483</v>
      </c>
    </row>
    <row r="202" spans="1:5" x14ac:dyDescent="0.3">
      <c r="A202" t="s">
        <v>23</v>
      </c>
      <c r="B202" s="1" t="s">
        <v>8</v>
      </c>
      <c r="C202">
        <v>9</v>
      </c>
      <c r="D202" s="1" t="s">
        <v>13</v>
      </c>
      <c r="E202" s="48">
        <v>461</v>
      </c>
    </row>
    <row r="203" spans="1:5" x14ac:dyDescent="0.3">
      <c r="A203" t="s">
        <v>23</v>
      </c>
      <c r="B203" s="8" t="s">
        <v>19</v>
      </c>
      <c r="C203">
        <v>10</v>
      </c>
      <c r="D203" s="1" t="s">
        <v>13</v>
      </c>
      <c r="E203" s="48">
        <v>422</v>
      </c>
    </row>
    <row r="204" spans="1:5" x14ac:dyDescent="0.3">
      <c r="A204" t="s">
        <v>23</v>
      </c>
      <c r="B204" s="8" t="s">
        <v>21</v>
      </c>
      <c r="C204">
        <v>11</v>
      </c>
      <c r="D204" s="1" t="s">
        <v>13</v>
      </c>
      <c r="E204" s="1">
        <f>414-8</f>
        <v>406</v>
      </c>
    </row>
    <row r="205" spans="1:5" x14ac:dyDescent="0.3">
      <c r="A205" t="s">
        <v>23</v>
      </c>
      <c r="B205" s="8" t="s">
        <v>20</v>
      </c>
      <c r="C205">
        <v>12</v>
      </c>
      <c r="D205" s="1" t="s">
        <v>13</v>
      </c>
      <c r="E205" s="48">
        <v>457</v>
      </c>
    </row>
    <row r="206" spans="1:5" x14ac:dyDescent="0.3">
      <c r="A206" s="13" t="s">
        <v>24</v>
      </c>
      <c r="B206" s="1" t="s">
        <v>0</v>
      </c>
      <c r="C206">
        <v>1</v>
      </c>
      <c r="D206" s="1" t="s">
        <v>13</v>
      </c>
      <c r="E206" s="1">
        <f>477-9</f>
        <v>468</v>
      </c>
    </row>
    <row r="207" spans="1:5" x14ac:dyDescent="0.3">
      <c r="A207" t="s">
        <v>24</v>
      </c>
      <c r="B207" s="1" t="s">
        <v>1</v>
      </c>
      <c r="C207">
        <v>2</v>
      </c>
      <c r="D207" s="1" t="s">
        <v>13</v>
      </c>
      <c r="E207" s="48">
        <v>441</v>
      </c>
    </row>
    <row r="208" spans="1:5" x14ac:dyDescent="0.3">
      <c r="A208" t="s">
        <v>24</v>
      </c>
      <c r="B208" s="1" t="s">
        <v>2</v>
      </c>
      <c r="C208">
        <v>3</v>
      </c>
      <c r="D208" s="1" t="s">
        <v>13</v>
      </c>
      <c r="E208" s="1">
        <f>445-9</f>
        <v>436</v>
      </c>
    </row>
    <row r="209" spans="1:5" x14ac:dyDescent="0.3">
      <c r="A209" t="s">
        <v>24</v>
      </c>
      <c r="B209" s="1" t="s">
        <v>3</v>
      </c>
      <c r="C209">
        <v>4</v>
      </c>
      <c r="D209" s="1" t="s">
        <v>13</v>
      </c>
      <c r="E209" s="48">
        <v>489</v>
      </c>
    </row>
    <row r="210" spans="1:5" x14ac:dyDescent="0.3">
      <c r="A210" t="s">
        <v>24</v>
      </c>
      <c r="B210" s="1" t="s">
        <v>4</v>
      </c>
      <c r="C210">
        <v>5</v>
      </c>
      <c r="D210" s="1" t="s">
        <v>13</v>
      </c>
      <c r="E210" s="48">
        <v>461</v>
      </c>
    </row>
    <row r="211" spans="1:5" x14ac:dyDescent="0.3">
      <c r="A211" t="s">
        <v>24</v>
      </c>
      <c r="B211" s="1" t="s">
        <v>5</v>
      </c>
      <c r="C211">
        <v>6</v>
      </c>
      <c r="D211" s="1" t="s">
        <v>13</v>
      </c>
      <c r="E211" s="1">
        <v>454</v>
      </c>
    </row>
    <row r="212" spans="1:5" x14ac:dyDescent="0.3">
      <c r="A212" t="s">
        <v>24</v>
      </c>
      <c r="B212" s="1" t="s">
        <v>6</v>
      </c>
      <c r="C212">
        <v>7</v>
      </c>
      <c r="D212" s="1" t="s">
        <v>13</v>
      </c>
      <c r="E212" s="48">
        <v>450</v>
      </c>
    </row>
    <row r="213" spans="1:5" x14ac:dyDescent="0.3">
      <c r="A213" t="s">
        <v>24</v>
      </c>
      <c r="B213" s="1" t="s">
        <v>7</v>
      </c>
      <c r="C213">
        <v>8</v>
      </c>
      <c r="D213" s="1" t="s">
        <v>13</v>
      </c>
      <c r="E213" s="1">
        <f>352-5</f>
        <v>347</v>
      </c>
    </row>
    <row r="214" spans="1:5" x14ac:dyDescent="0.3">
      <c r="A214" t="s">
        <v>24</v>
      </c>
      <c r="B214" s="1" t="s">
        <v>8</v>
      </c>
      <c r="C214">
        <v>9</v>
      </c>
      <c r="D214" s="1" t="s">
        <v>13</v>
      </c>
      <c r="E214" s="48">
        <v>459</v>
      </c>
    </row>
    <row r="215" spans="1:5" x14ac:dyDescent="0.3">
      <c r="A215" t="s">
        <v>24</v>
      </c>
      <c r="B215" s="8" t="s">
        <v>19</v>
      </c>
      <c r="C215">
        <v>10</v>
      </c>
      <c r="D215" s="1" t="s">
        <v>13</v>
      </c>
      <c r="E215" s="48">
        <v>453</v>
      </c>
    </row>
    <row r="216" spans="1:5" x14ac:dyDescent="0.3">
      <c r="A216" t="s">
        <v>24</v>
      </c>
      <c r="B216" s="8" t="s">
        <v>21</v>
      </c>
      <c r="C216">
        <v>11</v>
      </c>
      <c r="D216" s="1" t="s">
        <v>13</v>
      </c>
      <c r="E216" s="1">
        <v>464</v>
      </c>
    </row>
    <row r="217" spans="1:5" x14ac:dyDescent="0.3">
      <c r="A217" t="s">
        <v>24</v>
      </c>
      <c r="B217" s="8" t="s">
        <v>20</v>
      </c>
      <c r="C217">
        <v>12</v>
      </c>
      <c r="D217" s="1" t="s">
        <v>13</v>
      </c>
      <c r="E217" s="48">
        <v>438</v>
      </c>
    </row>
    <row r="218" spans="1:5" x14ac:dyDescent="0.3">
      <c r="A218" s="13" t="s">
        <v>25</v>
      </c>
      <c r="B218" s="1" t="s">
        <v>0</v>
      </c>
      <c r="C218">
        <v>1</v>
      </c>
      <c r="D218" s="1" t="s">
        <v>13</v>
      </c>
      <c r="E218" s="1">
        <f>428-7</f>
        <v>421</v>
      </c>
    </row>
    <row r="219" spans="1:5" x14ac:dyDescent="0.3">
      <c r="A219" t="s">
        <v>25</v>
      </c>
      <c r="B219" s="1" t="s">
        <v>1</v>
      </c>
      <c r="C219">
        <v>2</v>
      </c>
      <c r="D219" s="1" t="s">
        <v>13</v>
      </c>
      <c r="E219" s="48">
        <v>432</v>
      </c>
    </row>
    <row r="220" spans="1:5" x14ac:dyDescent="0.3">
      <c r="A220" t="s">
        <v>25</v>
      </c>
      <c r="B220" s="1" t="s">
        <v>2</v>
      </c>
      <c r="C220">
        <v>3</v>
      </c>
      <c r="D220" s="1" t="s">
        <v>13</v>
      </c>
      <c r="E220" s="1">
        <v>492</v>
      </c>
    </row>
    <row r="221" spans="1:5" x14ac:dyDescent="0.3">
      <c r="A221" t="s">
        <v>25</v>
      </c>
      <c r="B221" s="1" t="s">
        <v>3</v>
      </c>
      <c r="C221">
        <v>4</v>
      </c>
      <c r="D221" s="1" t="s">
        <v>13</v>
      </c>
      <c r="E221" s="48">
        <v>498</v>
      </c>
    </row>
    <row r="222" spans="1:5" x14ac:dyDescent="0.3">
      <c r="A222" t="s">
        <v>25</v>
      </c>
      <c r="B222" s="1" t="s">
        <v>4</v>
      </c>
      <c r="C222">
        <v>5</v>
      </c>
      <c r="D222" s="1" t="s">
        <v>13</v>
      </c>
      <c r="E222" s="48">
        <v>360</v>
      </c>
    </row>
    <row r="223" spans="1:5" x14ac:dyDescent="0.3">
      <c r="A223" t="s">
        <v>25</v>
      </c>
      <c r="B223" s="1" t="s">
        <v>5</v>
      </c>
      <c r="C223">
        <v>6</v>
      </c>
      <c r="D223" s="1" t="s">
        <v>13</v>
      </c>
      <c r="E223" s="1">
        <v>400</v>
      </c>
    </row>
    <row r="224" spans="1:5" x14ac:dyDescent="0.3">
      <c r="A224" t="s">
        <v>25</v>
      </c>
      <c r="B224" s="1" t="s">
        <v>6</v>
      </c>
      <c r="C224">
        <v>7</v>
      </c>
      <c r="D224" s="1" t="s">
        <v>13</v>
      </c>
      <c r="E224" s="48">
        <f>371-4</f>
        <v>367</v>
      </c>
    </row>
    <row r="225" spans="1:5" x14ac:dyDescent="0.3">
      <c r="A225" t="s">
        <v>25</v>
      </c>
      <c r="B225" s="1" t="s">
        <v>7</v>
      </c>
      <c r="C225">
        <v>8</v>
      </c>
      <c r="D225" s="1" t="s">
        <v>13</v>
      </c>
      <c r="E225" s="1">
        <f>523-11</f>
        <v>512</v>
      </c>
    </row>
    <row r="226" spans="1:5" x14ac:dyDescent="0.3">
      <c r="A226" t="s">
        <v>25</v>
      </c>
      <c r="B226" s="1" t="s">
        <v>8</v>
      </c>
      <c r="C226">
        <v>9</v>
      </c>
      <c r="D226" s="1" t="s">
        <v>13</v>
      </c>
      <c r="E226" s="48">
        <v>419</v>
      </c>
    </row>
    <row r="227" spans="1:5" x14ac:dyDescent="0.3">
      <c r="A227" t="s">
        <v>25</v>
      </c>
      <c r="B227" s="8" t="s">
        <v>19</v>
      </c>
      <c r="C227">
        <v>10</v>
      </c>
      <c r="D227" s="1" t="s">
        <v>13</v>
      </c>
      <c r="E227" s="48">
        <v>532</v>
      </c>
    </row>
    <row r="228" spans="1:5" x14ac:dyDescent="0.3">
      <c r="A228" t="s">
        <v>25</v>
      </c>
      <c r="B228" s="8" t="s">
        <v>21</v>
      </c>
      <c r="C228">
        <v>11</v>
      </c>
      <c r="D228" s="1" t="s">
        <v>13</v>
      </c>
      <c r="E228" s="1">
        <v>366</v>
      </c>
    </row>
    <row r="229" spans="1:5" x14ac:dyDescent="0.3">
      <c r="A229" t="s">
        <v>25</v>
      </c>
      <c r="B229" s="8" t="s">
        <v>20</v>
      </c>
      <c r="C229">
        <v>12</v>
      </c>
      <c r="D229" s="1" t="s">
        <v>13</v>
      </c>
      <c r="E229" s="48">
        <f>552
-7</f>
        <v>545</v>
      </c>
    </row>
    <row r="230" spans="1:5" x14ac:dyDescent="0.3">
      <c r="A230" s="13" t="s">
        <v>26</v>
      </c>
      <c r="B230" s="1" t="s">
        <v>0</v>
      </c>
      <c r="C230">
        <v>1</v>
      </c>
      <c r="D230" s="1" t="s">
        <v>13</v>
      </c>
      <c r="E230" s="1">
        <v>381</v>
      </c>
    </row>
    <row r="231" spans="1:5" x14ac:dyDescent="0.3">
      <c r="A231" t="s">
        <v>26</v>
      </c>
      <c r="B231" s="1" t="s">
        <v>1</v>
      </c>
      <c r="C231">
        <v>2</v>
      </c>
      <c r="D231" s="1" t="s">
        <v>13</v>
      </c>
      <c r="E231" s="48">
        <v>416</v>
      </c>
    </row>
    <row r="232" spans="1:5" x14ac:dyDescent="0.3">
      <c r="A232" t="s">
        <v>26</v>
      </c>
      <c r="B232" s="1" t="s">
        <v>2</v>
      </c>
      <c r="C232">
        <v>3</v>
      </c>
      <c r="D232" s="1" t="s">
        <v>13</v>
      </c>
      <c r="E232" s="1">
        <v>426</v>
      </c>
    </row>
    <row r="233" spans="1:5" x14ac:dyDescent="0.3">
      <c r="A233" t="s">
        <v>26</v>
      </c>
      <c r="B233" s="1" t="s">
        <v>3</v>
      </c>
      <c r="C233">
        <v>4</v>
      </c>
      <c r="D233" s="1" t="s">
        <v>13</v>
      </c>
      <c r="E233" s="48">
        <v>494</v>
      </c>
    </row>
    <row r="234" spans="1:5" x14ac:dyDescent="0.3">
      <c r="A234" t="s">
        <v>26</v>
      </c>
      <c r="B234" s="1" t="s">
        <v>4</v>
      </c>
      <c r="C234">
        <v>5</v>
      </c>
      <c r="D234" s="1" t="s">
        <v>13</v>
      </c>
      <c r="E234" s="48">
        <v>220</v>
      </c>
    </row>
    <row r="235" spans="1:5" x14ac:dyDescent="0.3">
      <c r="A235" t="s">
        <v>26</v>
      </c>
      <c r="B235" s="1" t="s">
        <v>5</v>
      </c>
      <c r="C235">
        <v>6</v>
      </c>
      <c r="D235" s="1" t="s">
        <v>13</v>
      </c>
      <c r="E235" s="1">
        <v>459</v>
      </c>
    </row>
    <row r="236" spans="1:5" x14ac:dyDescent="0.3">
      <c r="A236" t="s">
        <v>26</v>
      </c>
      <c r="B236" s="1" t="s">
        <v>6</v>
      </c>
      <c r="C236">
        <v>7</v>
      </c>
      <c r="D236" s="1" t="s">
        <v>13</v>
      </c>
      <c r="E236" s="48">
        <v>281</v>
      </c>
    </row>
    <row r="237" spans="1:5" x14ac:dyDescent="0.3">
      <c r="A237" t="s">
        <v>26</v>
      </c>
      <c r="B237" s="1" t="s">
        <v>7</v>
      </c>
      <c r="C237">
        <v>8</v>
      </c>
      <c r="D237" s="1" t="s">
        <v>13</v>
      </c>
      <c r="E237" s="1">
        <v>455</v>
      </c>
    </row>
    <row r="238" spans="1:5" x14ac:dyDescent="0.3">
      <c r="A238" t="s">
        <v>26</v>
      </c>
      <c r="B238" s="1" t="s">
        <v>8</v>
      </c>
      <c r="C238">
        <v>9</v>
      </c>
      <c r="D238" s="1" t="s">
        <v>13</v>
      </c>
      <c r="E238" s="48">
        <v>536</v>
      </c>
    </row>
    <row r="239" spans="1:5" x14ac:dyDescent="0.3">
      <c r="A239" t="s">
        <v>26</v>
      </c>
      <c r="B239" s="8" t="s">
        <v>19</v>
      </c>
      <c r="C239">
        <v>10</v>
      </c>
      <c r="D239" s="1" t="s">
        <v>13</v>
      </c>
      <c r="E239" s="48">
        <v>516</v>
      </c>
    </row>
    <row r="240" spans="1:5" x14ac:dyDescent="0.3">
      <c r="A240" t="s">
        <v>26</v>
      </c>
      <c r="B240" s="8" t="s">
        <v>21</v>
      </c>
      <c r="C240">
        <v>11</v>
      </c>
      <c r="D240" s="1" t="s">
        <v>13</v>
      </c>
      <c r="E240" s="1">
        <v>395</v>
      </c>
    </row>
    <row r="241" spans="1:5" x14ac:dyDescent="0.3">
      <c r="A241" t="s">
        <v>26</v>
      </c>
      <c r="B241" s="8" t="s">
        <v>20</v>
      </c>
      <c r="C241">
        <v>12</v>
      </c>
      <c r="D241" s="1" t="s">
        <v>13</v>
      </c>
      <c r="E241" s="48">
        <v>587</v>
      </c>
    </row>
    <row r="242" spans="1:5" x14ac:dyDescent="0.3">
      <c r="A242" s="13" t="s">
        <v>22</v>
      </c>
      <c r="B242" s="8" t="s">
        <v>0</v>
      </c>
      <c r="C242">
        <v>1</v>
      </c>
      <c r="D242" s="2" t="s">
        <v>16</v>
      </c>
      <c r="E242" s="1">
        <v>49</v>
      </c>
    </row>
    <row r="243" spans="1:5" x14ac:dyDescent="0.3">
      <c r="A243" t="s">
        <v>22</v>
      </c>
      <c r="B243" s="8" t="s">
        <v>1</v>
      </c>
      <c r="C243">
        <v>2</v>
      </c>
      <c r="D243" s="1" t="s">
        <v>16</v>
      </c>
      <c r="E243" s="48">
        <v>84</v>
      </c>
    </row>
    <row r="244" spans="1:5" x14ac:dyDescent="0.3">
      <c r="A244" t="s">
        <v>22</v>
      </c>
      <c r="B244" s="8" t="s">
        <v>2</v>
      </c>
      <c r="C244">
        <v>3</v>
      </c>
      <c r="D244" s="1" t="s">
        <v>16</v>
      </c>
      <c r="E244" s="1">
        <f>117-6</f>
        <v>111</v>
      </c>
    </row>
    <row r="245" spans="1:5" x14ac:dyDescent="0.3">
      <c r="A245" t="s">
        <v>22</v>
      </c>
      <c r="B245" s="8" t="s">
        <v>3</v>
      </c>
      <c r="C245">
        <v>4</v>
      </c>
      <c r="D245" s="1" t="s">
        <v>16</v>
      </c>
      <c r="E245" s="48">
        <v>130</v>
      </c>
    </row>
    <row r="246" spans="1:5" x14ac:dyDescent="0.3">
      <c r="A246" t="s">
        <v>22</v>
      </c>
      <c r="B246" s="8" t="s">
        <v>4</v>
      </c>
      <c r="C246">
        <v>5</v>
      </c>
      <c r="D246" s="1" t="s">
        <v>16</v>
      </c>
      <c r="E246" s="48">
        <v>110</v>
      </c>
    </row>
    <row r="247" spans="1:5" x14ac:dyDescent="0.3">
      <c r="A247" t="s">
        <v>22</v>
      </c>
      <c r="B247" s="8" t="s">
        <v>5</v>
      </c>
      <c r="C247">
        <v>6</v>
      </c>
      <c r="D247" s="1" t="s">
        <v>16</v>
      </c>
      <c r="E247" s="1">
        <v>115</v>
      </c>
    </row>
    <row r="248" spans="1:5" x14ac:dyDescent="0.3">
      <c r="A248" t="s">
        <v>22</v>
      </c>
      <c r="B248" s="8" t="s">
        <v>6</v>
      </c>
      <c r="C248">
        <v>7</v>
      </c>
      <c r="D248" s="1" t="s">
        <v>16</v>
      </c>
      <c r="E248" s="48">
        <v>112</v>
      </c>
    </row>
    <row r="249" spans="1:5" x14ac:dyDescent="0.3">
      <c r="A249" t="s">
        <v>22</v>
      </c>
      <c r="B249" s="8" t="s">
        <v>7</v>
      </c>
      <c r="C249">
        <v>8</v>
      </c>
      <c r="D249" s="1" t="s">
        <v>16</v>
      </c>
      <c r="E249" s="1">
        <v>81</v>
      </c>
    </row>
    <row r="250" spans="1:5" x14ac:dyDescent="0.3">
      <c r="A250" t="s">
        <v>22</v>
      </c>
      <c r="B250" s="8" t="s">
        <v>8</v>
      </c>
      <c r="C250">
        <v>9</v>
      </c>
      <c r="D250" s="1" t="s">
        <v>16</v>
      </c>
      <c r="E250" s="48">
        <v>117</v>
      </c>
    </row>
    <row r="251" spans="1:5" x14ac:dyDescent="0.3">
      <c r="A251" t="s">
        <v>22</v>
      </c>
      <c r="B251" s="8" t="s">
        <v>19</v>
      </c>
      <c r="C251">
        <v>10</v>
      </c>
      <c r="D251" s="1" t="s">
        <v>16</v>
      </c>
      <c r="E251" s="48">
        <v>100</v>
      </c>
    </row>
    <row r="252" spans="1:5" x14ac:dyDescent="0.3">
      <c r="A252" t="s">
        <v>22</v>
      </c>
      <c r="B252" s="8" t="s">
        <v>21</v>
      </c>
      <c r="C252">
        <v>11</v>
      </c>
      <c r="D252" s="1" t="s">
        <v>16</v>
      </c>
      <c r="E252" s="1">
        <v>127</v>
      </c>
    </row>
    <row r="253" spans="1:5" x14ac:dyDescent="0.3">
      <c r="A253" t="s">
        <v>22</v>
      </c>
      <c r="B253" s="8" t="s">
        <v>20</v>
      </c>
      <c r="C253">
        <v>12</v>
      </c>
      <c r="D253" s="1" t="s">
        <v>16</v>
      </c>
      <c r="E253" s="48">
        <v>167</v>
      </c>
    </row>
    <row r="254" spans="1:5" x14ac:dyDescent="0.3">
      <c r="A254" s="13" t="s">
        <v>23</v>
      </c>
      <c r="B254" s="8" t="s">
        <v>0</v>
      </c>
      <c r="C254">
        <v>1</v>
      </c>
      <c r="D254" s="1" t="s">
        <v>16</v>
      </c>
      <c r="E254" s="1">
        <v>125</v>
      </c>
    </row>
    <row r="255" spans="1:5" x14ac:dyDescent="0.3">
      <c r="A255" t="s">
        <v>23</v>
      </c>
      <c r="B255" s="8" t="s">
        <v>1</v>
      </c>
      <c r="C255">
        <v>2</v>
      </c>
      <c r="D255" s="1" t="s">
        <v>16</v>
      </c>
      <c r="E255" s="48">
        <v>115</v>
      </c>
    </row>
    <row r="256" spans="1:5" x14ac:dyDescent="0.3">
      <c r="A256" t="s">
        <v>23</v>
      </c>
      <c r="B256" s="8" t="s">
        <v>2</v>
      </c>
      <c r="C256">
        <v>3</v>
      </c>
      <c r="D256" s="1" t="s">
        <v>16</v>
      </c>
      <c r="E256" s="1">
        <f>134-6</f>
        <v>128</v>
      </c>
    </row>
    <row r="257" spans="1:5" x14ac:dyDescent="0.3">
      <c r="A257" t="s">
        <v>23</v>
      </c>
      <c r="B257" s="8" t="s">
        <v>3</v>
      </c>
      <c r="C257">
        <v>4</v>
      </c>
      <c r="D257" s="1" t="s">
        <v>16</v>
      </c>
      <c r="E257" s="48">
        <v>101</v>
      </c>
    </row>
    <row r="258" spans="1:5" x14ac:dyDescent="0.3">
      <c r="A258" t="s">
        <v>23</v>
      </c>
      <c r="B258" s="8" t="s">
        <v>4</v>
      </c>
      <c r="C258">
        <v>5</v>
      </c>
      <c r="D258" s="1" t="s">
        <v>16</v>
      </c>
      <c r="E258" s="49">
        <v>133</v>
      </c>
    </row>
    <row r="259" spans="1:5" x14ac:dyDescent="0.3">
      <c r="A259" t="s">
        <v>23</v>
      </c>
      <c r="B259" s="8" t="s">
        <v>5</v>
      </c>
      <c r="C259">
        <v>6</v>
      </c>
      <c r="D259" s="1" t="s">
        <v>16</v>
      </c>
      <c r="E259" s="1">
        <f>143-5</f>
        <v>138</v>
      </c>
    </row>
    <row r="260" spans="1:5" x14ac:dyDescent="0.3">
      <c r="A260" t="s">
        <v>23</v>
      </c>
      <c r="B260" s="8" t="s">
        <v>6</v>
      </c>
      <c r="C260">
        <v>7</v>
      </c>
      <c r="D260" s="1" t="s">
        <v>16</v>
      </c>
      <c r="E260" s="48">
        <v>88</v>
      </c>
    </row>
    <row r="261" spans="1:5" x14ac:dyDescent="0.3">
      <c r="A261" t="s">
        <v>23</v>
      </c>
      <c r="B261" s="8" t="s">
        <v>7</v>
      </c>
      <c r="C261">
        <v>8</v>
      </c>
      <c r="D261" s="1" t="s">
        <v>16</v>
      </c>
      <c r="E261" s="1">
        <v>140</v>
      </c>
    </row>
    <row r="262" spans="1:5" x14ac:dyDescent="0.3">
      <c r="A262" t="s">
        <v>23</v>
      </c>
      <c r="B262" s="8" t="s">
        <v>8</v>
      </c>
      <c r="C262">
        <v>9</v>
      </c>
      <c r="D262" s="1" t="s">
        <v>16</v>
      </c>
      <c r="E262" s="48">
        <v>136</v>
      </c>
    </row>
    <row r="263" spans="1:5" x14ac:dyDescent="0.3">
      <c r="A263" t="s">
        <v>23</v>
      </c>
      <c r="B263" s="8" t="s">
        <v>19</v>
      </c>
      <c r="C263">
        <v>10</v>
      </c>
      <c r="D263" s="1" t="s">
        <v>16</v>
      </c>
      <c r="E263" s="48">
        <v>128</v>
      </c>
    </row>
    <row r="264" spans="1:5" x14ac:dyDescent="0.3">
      <c r="A264" t="s">
        <v>23</v>
      </c>
      <c r="B264" s="8" t="s">
        <v>21</v>
      </c>
      <c r="C264">
        <v>11</v>
      </c>
      <c r="D264" s="1" t="s">
        <v>16</v>
      </c>
      <c r="E264" s="1">
        <v>145</v>
      </c>
    </row>
    <row r="265" spans="1:5" x14ac:dyDescent="0.3">
      <c r="A265" t="s">
        <v>23</v>
      </c>
      <c r="B265" s="8" t="s">
        <v>20</v>
      </c>
      <c r="C265">
        <v>12</v>
      </c>
      <c r="D265" s="1" t="s">
        <v>16</v>
      </c>
      <c r="E265" s="48">
        <v>169</v>
      </c>
    </row>
    <row r="266" spans="1:5" x14ac:dyDescent="0.3">
      <c r="A266" s="13" t="s">
        <v>24</v>
      </c>
      <c r="B266" s="8" t="s">
        <v>0</v>
      </c>
      <c r="C266">
        <v>1</v>
      </c>
      <c r="D266" s="1" t="s">
        <v>16</v>
      </c>
      <c r="E266" s="1">
        <v>139</v>
      </c>
    </row>
    <row r="267" spans="1:5" x14ac:dyDescent="0.3">
      <c r="A267" t="s">
        <v>24</v>
      </c>
      <c r="B267" s="8" t="s">
        <v>1</v>
      </c>
      <c r="C267">
        <v>2</v>
      </c>
      <c r="D267" s="1" t="s">
        <v>16</v>
      </c>
      <c r="E267" s="48">
        <v>149</v>
      </c>
    </row>
    <row r="268" spans="1:5" x14ac:dyDescent="0.3">
      <c r="A268" t="s">
        <v>24</v>
      </c>
      <c r="B268" s="8" t="s">
        <v>2</v>
      </c>
      <c r="C268">
        <v>3</v>
      </c>
      <c r="D268" s="1" t="s">
        <v>16</v>
      </c>
      <c r="E268" s="1">
        <v>127</v>
      </c>
    </row>
    <row r="269" spans="1:5" x14ac:dyDescent="0.3">
      <c r="A269" t="s">
        <v>24</v>
      </c>
      <c r="B269" s="8" t="s">
        <v>3</v>
      </c>
      <c r="C269">
        <v>4</v>
      </c>
      <c r="D269" s="1" t="s">
        <v>16</v>
      </c>
      <c r="E269" s="48">
        <v>149</v>
      </c>
    </row>
    <row r="270" spans="1:5" x14ac:dyDescent="0.3">
      <c r="A270" t="s">
        <v>24</v>
      </c>
      <c r="B270" s="8" t="s">
        <v>4</v>
      </c>
      <c r="C270">
        <v>5</v>
      </c>
      <c r="D270" s="1" t="s">
        <v>16</v>
      </c>
      <c r="E270" s="48">
        <v>97</v>
      </c>
    </row>
    <row r="271" spans="1:5" x14ac:dyDescent="0.3">
      <c r="A271" t="s">
        <v>24</v>
      </c>
      <c r="B271" s="8" t="s">
        <v>5</v>
      </c>
      <c r="C271">
        <v>6</v>
      </c>
      <c r="D271" s="1" t="s">
        <v>16</v>
      </c>
      <c r="E271" s="1">
        <v>118</v>
      </c>
    </row>
    <row r="272" spans="1:5" x14ac:dyDescent="0.3">
      <c r="A272" t="s">
        <v>24</v>
      </c>
      <c r="B272" s="8" t="s">
        <v>6</v>
      </c>
      <c r="C272">
        <v>7</v>
      </c>
      <c r="D272" s="1" t="s">
        <v>16</v>
      </c>
      <c r="E272" s="48">
        <v>138</v>
      </c>
    </row>
    <row r="273" spans="1:5" x14ac:dyDescent="0.3">
      <c r="A273" t="s">
        <v>24</v>
      </c>
      <c r="B273" s="8" t="s">
        <v>7</v>
      </c>
      <c r="C273">
        <v>8</v>
      </c>
      <c r="D273" s="1" t="s">
        <v>16</v>
      </c>
      <c r="E273" s="1">
        <v>104</v>
      </c>
    </row>
    <row r="274" spans="1:5" x14ac:dyDescent="0.3">
      <c r="A274" t="s">
        <v>24</v>
      </c>
      <c r="B274" s="8" t="s">
        <v>8</v>
      </c>
      <c r="C274">
        <v>9</v>
      </c>
      <c r="D274" s="1" t="s">
        <v>16</v>
      </c>
      <c r="E274" s="48">
        <v>116</v>
      </c>
    </row>
    <row r="275" spans="1:5" x14ac:dyDescent="0.3">
      <c r="A275" t="s">
        <v>24</v>
      </c>
      <c r="B275" s="8" t="s">
        <v>19</v>
      </c>
      <c r="C275">
        <v>10</v>
      </c>
      <c r="D275" s="1" t="s">
        <v>16</v>
      </c>
      <c r="E275" s="48">
        <v>148</v>
      </c>
    </row>
    <row r="276" spans="1:5" x14ac:dyDescent="0.3">
      <c r="A276" t="s">
        <v>24</v>
      </c>
      <c r="B276" s="8" t="s">
        <v>21</v>
      </c>
      <c r="C276">
        <v>11</v>
      </c>
      <c r="D276" s="1" t="s">
        <v>16</v>
      </c>
      <c r="E276" s="1">
        <v>149</v>
      </c>
    </row>
    <row r="277" spans="1:5" x14ac:dyDescent="0.3">
      <c r="A277" t="s">
        <v>24</v>
      </c>
      <c r="B277" s="8" t="s">
        <v>20</v>
      </c>
      <c r="C277">
        <v>12</v>
      </c>
      <c r="D277" s="1" t="s">
        <v>16</v>
      </c>
      <c r="E277" s="48">
        <v>139</v>
      </c>
    </row>
    <row r="278" spans="1:5" x14ac:dyDescent="0.3">
      <c r="A278" s="13" t="s">
        <v>25</v>
      </c>
      <c r="B278" s="8" t="s">
        <v>0</v>
      </c>
      <c r="C278">
        <v>1</v>
      </c>
      <c r="D278" s="1" t="s">
        <v>16</v>
      </c>
      <c r="E278" s="1">
        <v>152</v>
      </c>
    </row>
    <row r="279" spans="1:5" x14ac:dyDescent="0.3">
      <c r="A279" t="s">
        <v>25</v>
      </c>
      <c r="B279" s="8" t="s">
        <v>1</v>
      </c>
      <c r="C279">
        <v>2</v>
      </c>
      <c r="D279" s="1" t="s">
        <v>16</v>
      </c>
      <c r="E279" s="48">
        <v>125</v>
      </c>
    </row>
    <row r="280" spans="1:5" x14ac:dyDescent="0.3">
      <c r="A280" t="s">
        <v>25</v>
      </c>
      <c r="B280" s="8" t="s">
        <v>2</v>
      </c>
      <c r="C280">
        <v>3</v>
      </c>
      <c r="D280" s="1" t="s">
        <v>16</v>
      </c>
      <c r="E280" s="1">
        <v>123</v>
      </c>
    </row>
    <row r="281" spans="1:5" x14ac:dyDescent="0.3">
      <c r="A281" t="s">
        <v>25</v>
      </c>
      <c r="B281" s="8" t="s">
        <v>3</v>
      </c>
      <c r="C281">
        <v>4</v>
      </c>
      <c r="D281" s="1" t="s">
        <v>16</v>
      </c>
      <c r="E281" s="48">
        <v>128</v>
      </c>
    </row>
    <row r="282" spans="1:5" x14ac:dyDescent="0.3">
      <c r="A282" t="s">
        <v>25</v>
      </c>
      <c r="B282" s="8" t="s">
        <v>4</v>
      </c>
      <c r="C282">
        <v>5</v>
      </c>
      <c r="D282" s="1" t="s">
        <v>16</v>
      </c>
      <c r="E282" s="48">
        <v>93</v>
      </c>
    </row>
    <row r="283" spans="1:5" x14ac:dyDescent="0.3">
      <c r="A283" t="s">
        <v>25</v>
      </c>
      <c r="B283" s="8" t="s">
        <v>5</v>
      </c>
      <c r="C283">
        <v>6</v>
      </c>
      <c r="D283" s="1" t="s">
        <v>16</v>
      </c>
      <c r="E283" s="1">
        <v>139</v>
      </c>
    </row>
    <row r="284" spans="1:5" x14ac:dyDescent="0.3">
      <c r="A284" t="s">
        <v>25</v>
      </c>
      <c r="B284" s="8" t="s">
        <v>6</v>
      </c>
      <c r="C284">
        <v>7</v>
      </c>
      <c r="D284" s="1" t="s">
        <v>16</v>
      </c>
      <c r="E284" s="48">
        <v>102</v>
      </c>
    </row>
    <row r="285" spans="1:5" x14ac:dyDescent="0.3">
      <c r="A285" t="s">
        <v>25</v>
      </c>
      <c r="B285" s="8" t="s">
        <v>7</v>
      </c>
      <c r="C285">
        <v>8</v>
      </c>
      <c r="D285" s="1" t="s">
        <v>16</v>
      </c>
      <c r="E285" s="1">
        <v>113</v>
      </c>
    </row>
    <row r="286" spans="1:5" x14ac:dyDescent="0.3">
      <c r="A286" t="s">
        <v>25</v>
      </c>
      <c r="B286" s="8" t="s">
        <v>8</v>
      </c>
      <c r="C286">
        <v>9</v>
      </c>
      <c r="D286" s="1" t="s">
        <v>16</v>
      </c>
      <c r="E286" s="48">
        <v>122</v>
      </c>
    </row>
    <row r="287" spans="1:5" x14ac:dyDescent="0.3">
      <c r="A287" t="s">
        <v>25</v>
      </c>
      <c r="B287" s="8" t="s">
        <v>19</v>
      </c>
      <c r="C287">
        <v>10</v>
      </c>
      <c r="D287" s="1" t="s">
        <v>16</v>
      </c>
      <c r="E287" s="48">
        <v>142</v>
      </c>
    </row>
    <row r="288" spans="1:5" x14ac:dyDescent="0.3">
      <c r="A288" t="s">
        <v>25</v>
      </c>
      <c r="B288" s="8" t="s">
        <v>21</v>
      </c>
      <c r="C288">
        <v>11</v>
      </c>
      <c r="D288" s="1" t="s">
        <v>16</v>
      </c>
      <c r="E288" s="1">
        <v>142</v>
      </c>
    </row>
    <row r="289" spans="1:5" x14ac:dyDescent="0.3">
      <c r="A289" t="s">
        <v>25</v>
      </c>
      <c r="B289" s="8" t="s">
        <v>20</v>
      </c>
      <c r="C289">
        <v>12</v>
      </c>
      <c r="D289" s="1" t="s">
        <v>16</v>
      </c>
      <c r="E289" s="48">
        <v>142</v>
      </c>
    </row>
    <row r="290" spans="1:5" x14ac:dyDescent="0.3">
      <c r="A290" s="13" t="s">
        <v>26</v>
      </c>
      <c r="B290" s="8" t="s">
        <v>0</v>
      </c>
      <c r="C290">
        <v>1</v>
      </c>
      <c r="D290" s="1" t="s">
        <v>16</v>
      </c>
      <c r="E290" s="1">
        <v>116</v>
      </c>
    </row>
    <row r="291" spans="1:5" x14ac:dyDescent="0.3">
      <c r="A291" t="s">
        <v>26</v>
      </c>
      <c r="B291" s="8" t="s">
        <v>1</v>
      </c>
      <c r="C291">
        <v>2</v>
      </c>
      <c r="D291" s="1" t="s">
        <v>16</v>
      </c>
      <c r="E291" s="48">
        <v>127</v>
      </c>
    </row>
    <row r="292" spans="1:5" x14ac:dyDescent="0.3">
      <c r="A292" t="s">
        <v>26</v>
      </c>
      <c r="B292" s="8" t="s">
        <v>2</v>
      </c>
      <c r="C292">
        <v>3</v>
      </c>
      <c r="D292" s="1" t="s">
        <v>16</v>
      </c>
      <c r="E292" s="1">
        <v>142</v>
      </c>
    </row>
    <row r="293" spans="1:5" x14ac:dyDescent="0.3">
      <c r="A293" t="s">
        <v>26</v>
      </c>
      <c r="B293" s="8" t="s">
        <v>3</v>
      </c>
      <c r="C293">
        <v>4</v>
      </c>
      <c r="D293" s="1" t="s">
        <v>16</v>
      </c>
      <c r="E293" s="48">
        <v>136</v>
      </c>
    </row>
    <row r="294" spans="1:5" x14ac:dyDescent="0.3">
      <c r="A294" t="s">
        <v>26</v>
      </c>
      <c r="B294" s="8" t="s">
        <v>4</v>
      </c>
      <c r="C294">
        <v>5</v>
      </c>
      <c r="D294" s="1" t="s">
        <v>16</v>
      </c>
      <c r="E294" s="48">
        <v>94</v>
      </c>
    </row>
    <row r="295" spans="1:5" x14ac:dyDescent="0.3">
      <c r="A295" t="s">
        <v>26</v>
      </c>
      <c r="B295" s="8" t="s">
        <v>5</v>
      </c>
      <c r="C295">
        <v>6</v>
      </c>
      <c r="D295" s="1" t="s">
        <v>16</v>
      </c>
      <c r="E295" s="1">
        <v>133</v>
      </c>
    </row>
    <row r="296" spans="1:5" x14ac:dyDescent="0.3">
      <c r="A296" t="s">
        <v>26</v>
      </c>
      <c r="B296" s="8" t="s">
        <v>6</v>
      </c>
      <c r="C296">
        <v>7</v>
      </c>
      <c r="D296" s="1" t="s">
        <v>16</v>
      </c>
      <c r="E296" s="48">
        <v>90</v>
      </c>
    </row>
    <row r="297" spans="1:5" x14ac:dyDescent="0.3">
      <c r="A297" t="s">
        <v>26</v>
      </c>
      <c r="B297" s="8" t="s">
        <v>7</v>
      </c>
      <c r="C297">
        <v>8</v>
      </c>
      <c r="D297" s="1" t="s">
        <v>16</v>
      </c>
      <c r="E297" s="1">
        <v>111</v>
      </c>
    </row>
    <row r="298" spans="1:5" x14ac:dyDescent="0.3">
      <c r="A298" t="s">
        <v>26</v>
      </c>
      <c r="B298" s="8" t="s">
        <v>8</v>
      </c>
      <c r="C298">
        <v>9</v>
      </c>
      <c r="D298" s="1" t="s">
        <v>16</v>
      </c>
      <c r="E298" s="48">
        <v>145</v>
      </c>
    </row>
    <row r="299" spans="1:5" x14ac:dyDescent="0.3">
      <c r="A299" t="s">
        <v>26</v>
      </c>
      <c r="B299" s="8" t="s">
        <v>19</v>
      </c>
      <c r="C299">
        <v>10</v>
      </c>
      <c r="D299" s="1" t="s">
        <v>16</v>
      </c>
      <c r="E299" s="48">
        <v>123</v>
      </c>
    </row>
    <row r="300" spans="1:5" x14ac:dyDescent="0.3">
      <c r="A300" t="s">
        <v>26</v>
      </c>
      <c r="B300" s="8" t="s">
        <v>21</v>
      </c>
      <c r="C300">
        <v>11</v>
      </c>
      <c r="D300" s="1" t="s">
        <v>16</v>
      </c>
      <c r="E300" s="1">
        <v>116</v>
      </c>
    </row>
    <row r="301" spans="1:5" x14ac:dyDescent="0.3">
      <c r="A301" t="s">
        <v>26</v>
      </c>
      <c r="B301" s="8" t="s">
        <v>20</v>
      </c>
      <c r="C301">
        <v>12</v>
      </c>
      <c r="D301" s="1" t="s">
        <v>16</v>
      </c>
      <c r="E301" s="48">
        <v>128</v>
      </c>
    </row>
    <row r="302" spans="1:5" x14ac:dyDescent="0.3">
      <c r="A302" s="13" t="s">
        <v>22</v>
      </c>
      <c r="B302" s="8" t="s">
        <v>0</v>
      </c>
      <c r="C302">
        <v>1</v>
      </c>
      <c r="D302" s="2" t="s">
        <v>12</v>
      </c>
      <c r="E302" s="1">
        <v>8</v>
      </c>
    </row>
    <row r="303" spans="1:5" x14ac:dyDescent="0.3">
      <c r="A303" t="s">
        <v>22</v>
      </c>
      <c r="B303" s="8" t="s">
        <v>1</v>
      </c>
      <c r="C303">
        <v>2</v>
      </c>
      <c r="D303" s="1" t="s">
        <v>12</v>
      </c>
      <c r="E303" s="48">
        <v>4</v>
      </c>
    </row>
    <row r="304" spans="1:5" x14ac:dyDescent="0.3">
      <c r="A304" t="s">
        <v>22</v>
      </c>
      <c r="B304" s="8" t="s">
        <v>2</v>
      </c>
      <c r="C304">
        <v>3</v>
      </c>
      <c r="D304" s="1" t="s">
        <v>12</v>
      </c>
      <c r="E304" s="1">
        <v>16</v>
      </c>
    </row>
    <row r="305" spans="1:5" x14ac:dyDescent="0.3">
      <c r="A305" t="s">
        <v>22</v>
      </c>
      <c r="B305" s="8" t="s">
        <v>3</v>
      </c>
      <c r="C305">
        <v>4</v>
      </c>
      <c r="D305" s="1" t="s">
        <v>12</v>
      </c>
      <c r="E305" s="48">
        <v>18</v>
      </c>
    </row>
    <row r="306" spans="1:5" x14ac:dyDescent="0.3">
      <c r="A306" t="s">
        <v>22</v>
      </c>
      <c r="B306" s="8" t="s">
        <v>4</v>
      </c>
      <c r="C306">
        <v>5</v>
      </c>
      <c r="D306" s="1" t="s">
        <v>12</v>
      </c>
      <c r="E306" s="49">
        <v>5</v>
      </c>
    </row>
    <row r="307" spans="1:5" x14ac:dyDescent="0.3">
      <c r="A307" t="s">
        <v>22</v>
      </c>
      <c r="B307" s="8" t="s">
        <v>5</v>
      </c>
      <c r="C307">
        <v>6</v>
      </c>
      <c r="D307" s="1" t="s">
        <v>12</v>
      </c>
      <c r="E307" s="4">
        <v>13</v>
      </c>
    </row>
    <row r="308" spans="1:5" x14ac:dyDescent="0.3">
      <c r="A308" t="s">
        <v>22</v>
      </c>
      <c r="B308" s="8" t="s">
        <v>6</v>
      </c>
      <c r="C308">
        <v>7</v>
      </c>
      <c r="D308" s="1" t="s">
        <v>12</v>
      </c>
      <c r="E308" s="48">
        <v>10</v>
      </c>
    </row>
    <row r="309" spans="1:5" x14ac:dyDescent="0.3">
      <c r="A309" t="s">
        <v>22</v>
      </c>
      <c r="B309" s="8" t="s">
        <v>7</v>
      </c>
      <c r="C309">
        <v>8</v>
      </c>
      <c r="D309" s="1" t="s">
        <v>12</v>
      </c>
      <c r="E309" s="1">
        <v>5</v>
      </c>
    </row>
    <row r="310" spans="1:5" x14ac:dyDescent="0.3">
      <c r="A310" t="s">
        <v>22</v>
      </c>
      <c r="B310" s="8" t="s">
        <v>8</v>
      </c>
      <c r="C310">
        <v>9</v>
      </c>
      <c r="D310" s="1" t="s">
        <v>12</v>
      </c>
      <c r="E310" s="49">
        <v>5</v>
      </c>
    </row>
    <row r="311" spans="1:5" x14ac:dyDescent="0.3">
      <c r="A311" t="s">
        <v>22</v>
      </c>
      <c r="B311" s="8" t="s">
        <v>19</v>
      </c>
      <c r="C311">
        <v>10</v>
      </c>
      <c r="D311" s="1" t="s">
        <v>12</v>
      </c>
      <c r="E311" s="49">
        <v>7</v>
      </c>
    </row>
    <row r="312" spans="1:5" x14ac:dyDescent="0.3">
      <c r="A312" t="s">
        <v>22</v>
      </c>
      <c r="B312" s="8" t="s">
        <v>21</v>
      </c>
      <c r="C312">
        <v>11</v>
      </c>
      <c r="D312" s="1" t="s">
        <v>12</v>
      </c>
      <c r="E312" s="4">
        <v>9</v>
      </c>
    </row>
    <row r="313" spans="1:5" x14ac:dyDescent="0.3">
      <c r="A313" t="s">
        <v>22</v>
      </c>
      <c r="B313" s="8" t="s">
        <v>20</v>
      </c>
      <c r="C313">
        <v>12</v>
      </c>
      <c r="D313" s="1" t="s">
        <v>12</v>
      </c>
      <c r="E313" s="49">
        <v>12</v>
      </c>
    </row>
    <row r="314" spans="1:5" x14ac:dyDescent="0.3">
      <c r="A314" s="13" t="s">
        <v>23</v>
      </c>
      <c r="B314" s="8" t="s">
        <v>0</v>
      </c>
      <c r="C314">
        <v>1</v>
      </c>
      <c r="D314" s="1" t="s">
        <v>12</v>
      </c>
      <c r="E314" s="1">
        <v>16</v>
      </c>
    </row>
    <row r="315" spans="1:5" x14ac:dyDescent="0.3">
      <c r="A315" t="s">
        <v>23</v>
      </c>
      <c r="B315" s="8" t="s">
        <v>1</v>
      </c>
      <c r="C315">
        <v>2</v>
      </c>
      <c r="D315" s="1" t="s">
        <v>12</v>
      </c>
      <c r="E315" s="49">
        <v>18</v>
      </c>
    </row>
    <row r="316" spans="1:5" x14ac:dyDescent="0.3">
      <c r="A316" t="s">
        <v>23</v>
      </c>
      <c r="B316" s="8" t="s">
        <v>2</v>
      </c>
      <c r="C316">
        <v>3</v>
      </c>
      <c r="D316" s="1" t="s">
        <v>12</v>
      </c>
      <c r="E316" s="1">
        <v>37</v>
      </c>
    </row>
    <row r="317" spans="1:5" x14ac:dyDescent="0.3">
      <c r="A317" t="s">
        <v>23</v>
      </c>
      <c r="B317" s="8" t="s">
        <v>3</v>
      </c>
      <c r="C317">
        <v>4</v>
      </c>
      <c r="D317" s="1" t="s">
        <v>12</v>
      </c>
      <c r="E317" s="49">
        <v>19</v>
      </c>
    </row>
    <row r="318" spans="1:5" x14ac:dyDescent="0.3">
      <c r="A318" t="s">
        <v>23</v>
      </c>
      <c r="B318" s="8" t="s">
        <v>4</v>
      </c>
      <c r="C318">
        <v>5</v>
      </c>
      <c r="D318" s="1" t="s">
        <v>12</v>
      </c>
      <c r="E318" s="49">
        <v>20</v>
      </c>
    </row>
    <row r="319" spans="1:5" x14ac:dyDescent="0.3">
      <c r="A319" t="s">
        <v>23</v>
      </c>
      <c r="B319" s="8" t="s">
        <v>5</v>
      </c>
      <c r="C319">
        <v>6</v>
      </c>
      <c r="D319" s="1" t="s">
        <v>12</v>
      </c>
      <c r="E319" s="4">
        <v>26</v>
      </c>
    </row>
    <row r="320" spans="1:5" x14ac:dyDescent="0.3">
      <c r="A320" t="s">
        <v>23</v>
      </c>
      <c r="B320" s="8" t="s">
        <v>6</v>
      </c>
      <c r="C320">
        <v>7</v>
      </c>
      <c r="D320" s="1" t="s">
        <v>12</v>
      </c>
      <c r="E320" s="49">
        <v>4</v>
      </c>
    </row>
    <row r="321" spans="1:5" x14ac:dyDescent="0.3">
      <c r="A321" t="s">
        <v>23</v>
      </c>
      <c r="B321" s="8" t="s">
        <v>7</v>
      </c>
      <c r="C321">
        <v>8</v>
      </c>
      <c r="D321" s="1" t="s">
        <v>12</v>
      </c>
      <c r="E321" s="4">
        <v>7</v>
      </c>
    </row>
    <row r="322" spans="1:5" x14ac:dyDescent="0.3">
      <c r="A322" t="s">
        <v>23</v>
      </c>
      <c r="B322" s="8" t="s">
        <v>8</v>
      </c>
      <c r="C322">
        <v>9</v>
      </c>
      <c r="D322" s="1" t="s">
        <v>12</v>
      </c>
      <c r="E322" s="49">
        <v>21</v>
      </c>
    </row>
    <row r="323" spans="1:5" x14ac:dyDescent="0.3">
      <c r="A323" t="s">
        <v>23</v>
      </c>
      <c r="B323" s="8" t="s">
        <v>19</v>
      </c>
      <c r="C323">
        <v>10</v>
      </c>
      <c r="D323" s="1" t="s">
        <v>12</v>
      </c>
      <c r="E323" s="49">
        <v>21</v>
      </c>
    </row>
    <row r="324" spans="1:5" x14ac:dyDescent="0.3">
      <c r="A324" t="s">
        <v>23</v>
      </c>
      <c r="B324" s="8" t="s">
        <v>21</v>
      </c>
      <c r="C324">
        <v>11</v>
      </c>
      <c r="D324" s="1" t="s">
        <v>12</v>
      </c>
      <c r="E324" s="4">
        <v>14</v>
      </c>
    </row>
    <row r="325" spans="1:5" x14ac:dyDescent="0.3">
      <c r="A325" t="s">
        <v>23</v>
      </c>
      <c r="B325" s="8" t="s">
        <v>20</v>
      </c>
      <c r="C325">
        <v>12</v>
      </c>
      <c r="D325" s="1" t="s">
        <v>12</v>
      </c>
      <c r="E325" s="49">
        <v>21</v>
      </c>
    </row>
    <row r="326" spans="1:5" x14ac:dyDescent="0.3">
      <c r="A326" s="13" t="s">
        <v>24</v>
      </c>
      <c r="B326" s="8" t="s">
        <v>0</v>
      </c>
      <c r="C326">
        <v>1</v>
      </c>
      <c r="D326" s="1" t="s">
        <v>12</v>
      </c>
      <c r="E326" s="1">
        <v>21</v>
      </c>
    </row>
    <row r="327" spans="1:5" x14ac:dyDescent="0.3">
      <c r="A327" t="s">
        <v>24</v>
      </c>
      <c r="B327" s="8" t="s">
        <v>1</v>
      </c>
      <c r="C327">
        <v>2</v>
      </c>
      <c r="D327" s="1" t="s">
        <v>12</v>
      </c>
      <c r="E327" s="49">
        <v>27</v>
      </c>
    </row>
    <row r="328" spans="1:5" x14ac:dyDescent="0.3">
      <c r="A328" t="s">
        <v>24</v>
      </c>
      <c r="B328" s="8" t="s">
        <v>2</v>
      </c>
      <c r="C328">
        <v>3</v>
      </c>
      <c r="D328" s="1" t="s">
        <v>12</v>
      </c>
      <c r="E328" s="4">
        <v>22</v>
      </c>
    </row>
    <row r="329" spans="1:5" x14ac:dyDescent="0.3">
      <c r="A329" t="s">
        <v>24</v>
      </c>
      <c r="B329" s="8" t="s">
        <v>3</v>
      </c>
      <c r="C329">
        <v>4</v>
      </c>
      <c r="D329" s="1" t="s">
        <v>12</v>
      </c>
      <c r="E329" s="49">
        <v>15</v>
      </c>
    </row>
    <row r="330" spans="1:5" x14ac:dyDescent="0.3">
      <c r="A330" t="s">
        <v>24</v>
      </c>
      <c r="B330" s="8" t="s">
        <v>4</v>
      </c>
      <c r="C330">
        <v>5</v>
      </c>
      <c r="D330" s="1" t="s">
        <v>12</v>
      </c>
      <c r="E330" s="49">
        <v>10</v>
      </c>
    </row>
    <row r="331" spans="1:5" x14ac:dyDescent="0.3">
      <c r="A331" t="s">
        <v>24</v>
      </c>
      <c r="B331" s="8" t="s">
        <v>5</v>
      </c>
      <c r="C331">
        <v>6</v>
      </c>
      <c r="D331" s="1" t="s">
        <v>12</v>
      </c>
      <c r="E331" s="4">
        <v>19</v>
      </c>
    </row>
    <row r="332" spans="1:5" x14ac:dyDescent="0.3">
      <c r="A332" t="s">
        <v>24</v>
      </c>
      <c r="B332" s="8" t="s">
        <v>6</v>
      </c>
      <c r="C332">
        <v>7</v>
      </c>
      <c r="D332" s="1" t="s">
        <v>12</v>
      </c>
      <c r="E332" s="49">
        <v>12</v>
      </c>
    </row>
    <row r="333" spans="1:5" x14ac:dyDescent="0.3">
      <c r="A333" t="s">
        <v>24</v>
      </c>
      <c r="B333" s="8" t="s">
        <v>7</v>
      </c>
      <c r="C333">
        <v>8</v>
      </c>
      <c r="D333" s="1" t="s">
        <v>12</v>
      </c>
      <c r="E333" s="1">
        <v>15</v>
      </c>
    </row>
    <row r="334" spans="1:5" x14ac:dyDescent="0.3">
      <c r="A334" t="s">
        <v>24</v>
      </c>
      <c r="B334" s="8" t="s">
        <v>8</v>
      </c>
      <c r="C334">
        <v>9</v>
      </c>
      <c r="D334" s="1" t="s">
        <v>12</v>
      </c>
      <c r="E334" s="49">
        <v>20</v>
      </c>
    </row>
    <row r="335" spans="1:5" x14ac:dyDescent="0.3">
      <c r="A335" t="s">
        <v>24</v>
      </c>
      <c r="B335" s="8" t="s">
        <v>19</v>
      </c>
      <c r="C335">
        <v>10</v>
      </c>
      <c r="D335" s="1" t="s">
        <v>12</v>
      </c>
      <c r="E335" s="49">
        <v>12</v>
      </c>
    </row>
    <row r="336" spans="1:5" x14ac:dyDescent="0.3">
      <c r="A336" t="s">
        <v>24</v>
      </c>
      <c r="B336" s="8" t="s">
        <v>21</v>
      </c>
      <c r="C336">
        <v>11</v>
      </c>
      <c r="D336" s="1" t="s">
        <v>12</v>
      </c>
      <c r="E336" s="4">
        <v>15</v>
      </c>
    </row>
    <row r="337" spans="1:5" x14ac:dyDescent="0.3">
      <c r="A337" t="s">
        <v>24</v>
      </c>
      <c r="B337" s="8" t="s">
        <v>20</v>
      </c>
      <c r="C337">
        <v>12</v>
      </c>
      <c r="D337" s="1" t="s">
        <v>12</v>
      </c>
      <c r="E337" s="49">
        <v>16</v>
      </c>
    </row>
    <row r="338" spans="1:5" x14ac:dyDescent="0.3">
      <c r="A338" s="13" t="s">
        <v>25</v>
      </c>
      <c r="B338" s="8" t="s">
        <v>0</v>
      </c>
      <c r="C338">
        <v>1</v>
      </c>
      <c r="D338" s="1" t="s">
        <v>12</v>
      </c>
      <c r="E338" s="1">
        <v>24</v>
      </c>
    </row>
    <row r="339" spans="1:5" x14ac:dyDescent="0.3">
      <c r="A339" t="s">
        <v>25</v>
      </c>
      <c r="B339" s="8" t="s">
        <v>1</v>
      </c>
      <c r="C339">
        <v>2</v>
      </c>
      <c r="D339" s="1" t="s">
        <v>12</v>
      </c>
      <c r="E339" s="49">
        <v>24</v>
      </c>
    </row>
    <row r="340" spans="1:5" x14ac:dyDescent="0.3">
      <c r="A340" t="s">
        <v>25</v>
      </c>
      <c r="B340" s="8" t="s">
        <v>2</v>
      </c>
      <c r="C340">
        <v>3</v>
      </c>
      <c r="D340" s="1" t="s">
        <v>12</v>
      </c>
      <c r="E340" s="4">
        <v>14</v>
      </c>
    </row>
    <row r="341" spans="1:5" x14ac:dyDescent="0.3">
      <c r="A341" t="s">
        <v>25</v>
      </c>
      <c r="B341" s="8" t="s">
        <v>3</v>
      </c>
      <c r="C341">
        <v>4</v>
      </c>
      <c r="D341" s="1" t="s">
        <v>12</v>
      </c>
      <c r="E341" s="49">
        <v>15</v>
      </c>
    </row>
    <row r="342" spans="1:5" x14ac:dyDescent="0.3">
      <c r="A342" t="s">
        <v>25</v>
      </c>
      <c r="B342" s="8" t="s">
        <v>4</v>
      </c>
      <c r="C342">
        <v>5</v>
      </c>
      <c r="D342" s="1" t="s">
        <v>12</v>
      </c>
      <c r="E342" s="49">
        <v>10</v>
      </c>
    </row>
    <row r="343" spans="1:5" x14ac:dyDescent="0.3">
      <c r="A343" t="s">
        <v>25</v>
      </c>
      <c r="B343" s="8" t="s">
        <v>5</v>
      </c>
      <c r="C343">
        <v>6</v>
      </c>
      <c r="D343" s="1" t="s">
        <v>12</v>
      </c>
      <c r="E343" s="4">
        <v>12</v>
      </c>
    </row>
    <row r="344" spans="1:5" x14ac:dyDescent="0.3">
      <c r="A344" t="s">
        <v>25</v>
      </c>
      <c r="B344" s="8" t="s">
        <v>6</v>
      </c>
      <c r="C344">
        <v>7</v>
      </c>
      <c r="D344" s="1" t="s">
        <v>12</v>
      </c>
      <c r="E344" s="49">
        <v>15</v>
      </c>
    </row>
    <row r="345" spans="1:5" x14ac:dyDescent="0.3">
      <c r="A345" t="s">
        <v>25</v>
      </c>
      <c r="B345" s="8" t="s">
        <v>7</v>
      </c>
      <c r="C345">
        <v>8</v>
      </c>
      <c r="D345" s="1" t="s">
        <v>12</v>
      </c>
      <c r="E345" s="1">
        <v>14</v>
      </c>
    </row>
    <row r="346" spans="1:5" x14ac:dyDescent="0.3">
      <c r="A346" t="s">
        <v>25</v>
      </c>
      <c r="B346" s="8" t="s">
        <v>8</v>
      </c>
      <c r="C346">
        <v>9</v>
      </c>
      <c r="D346" s="1" t="s">
        <v>12</v>
      </c>
      <c r="E346" s="49">
        <v>12</v>
      </c>
    </row>
    <row r="347" spans="1:5" x14ac:dyDescent="0.3">
      <c r="A347" t="s">
        <v>25</v>
      </c>
      <c r="B347" s="8" t="s">
        <v>19</v>
      </c>
      <c r="C347">
        <v>10</v>
      </c>
      <c r="D347" s="1" t="s">
        <v>12</v>
      </c>
      <c r="E347" s="49">
        <v>24</v>
      </c>
    </row>
    <row r="348" spans="1:5" x14ac:dyDescent="0.3">
      <c r="A348" t="s">
        <v>25</v>
      </c>
      <c r="B348" s="8" t="s">
        <v>21</v>
      </c>
      <c r="C348">
        <v>11</v>
      </c>
      <c r="D348" s="1" t="s">
        <v>12</v>
      </c>
      <c r="E348" s="4">
        <v>19</v>
      </c>
    </row>
    <row r="349" spans="1:5" x14ac:dyDescent="0.3">
      <c r="A349" t="s">
        <v>25</v>
      </c>
      <c r="B349" s="8" t="s">
        <v>20</v>
      </c>
      <c r="C349">
        <v>12</v>
      </c>
      <c r="D349" s="1" t="s">
        <v>12</v>
      </c>
      <c r="E349" s="49">
        <v>18</v>
      </c>
    </row>
    <row r="350" spans="1:5" x14ac:dyDescent="0.3">
      <c r="A350" s="13" t="s">
        <v>26</v>
      </c>
      <c r="B350" s="8" t="s">
        <v>0</v>
      </c>
      <c r="C350">
        <v>1</v>
      </c>
      <c r="D350" s="1" t="s">
        <v>12</v>
      </c>
      <c r="E350" s="1">
        <v>28</v>
      </c>
    </row>
    <row r="351" spans="1:5" x14ac:dyDescent="0.3">
      <c r="A351" t="s">
        <v>26</v>
      </c>
      <c r="B351" s="8" t="s">
        <v>1</v>
      </c>
      <c r="C351">
        <v>2</v>
      </c>
      <c r="D351" s="1" t="s">
        <v>12</v>
      </c>
      <c r="E351" s="49">
        <v>24</v>
      </c>
    </row>
    <row r="352" spans="1:5" x14ac:dyDescent="0.3">
      <c r="A352" t="s">
        <v>26</v>
      </c>
      <c r="B352" s="8" t="s">
        <v>2</v>
      </c>
      <c r="C352">
        <v>3</v>
      </c>
      <c r="D352" s="1" t="s">
        <v>12</v>
      </c>
      <c r="E352" s="4">
        <v>12</v>
      </c>
    </row>
    <row r="353" spans="1:5" x14ac:dyDescent="0.3">
      <c r="A353" t="s">
        <v>26</v>
      </c>
      <c r="B353" s="8" t="s">
        <v>3</v>
      </c>
      <c r="C353">
        <v>4</v>
      </c>
      <c r="D353" s="1" t="s">
        <v>12</v>
      </c>
      <c r="E353" s="49">
        <v>11</v>
      </c>
    </row>
    <row r="354" spans="1:5" x14ac:dyDescent="0.3">
      <c r="A354" t="s">
        <v>26</v>
      </c>
      <c r="B354" s="8" t="s">
        <v>4</v>
      </c>
      <c r="C354">
        <v>5</v>
      </c>
      <c r="D354" s="1" t="s">
        <v>12</v>
      </c>
      <c r="E354" s="49">
        <v>12</v>
      </c>
    </row>
    <row r="355" spans="1:5" x14ac:dyDescent="0.3">
      <c r="A355" t="s">
        <v>26</v>
      </c>
      <c r="B355" s="8" t="s">
        <v>5</v>
      </c>
      <c r="C355">
        <v>6</v>
      </c>
      <c r="D355" s="1" t="s">
        <v>12</v>
      </c>
      <c r="E355" s="4">
        <v>12</v>
      </c>
    </row>
    <row r="356" spans="1:5" x14ac:dyDescent="0.3">
      <c r="A356" t="s">
        <v>26</v>
      </c>
      <c r="B356" s="8" t="s">
        <v>6</v>
      </c>
      <c r="C356">
        <v>7</v>
      </c>
      <c r="D356" s="1" t="s">
        <v>12</v>
      </c>
      <c r="E356" s="49">
        <v>2</v>
      </c>
    </row>
    <row r="357" spans="1:5" x14ac:dyDescent="0.3">
      <c r="A357" t="s">
        <v>26</v>
      </c>
      <c r="B357" s="8" t="s">
        <v>7</v>
      </c>
      <c r="C357">
        <v>8</v>
      </c>
      <c r="D357" s="1" t="s">
        <v>12</v>
      </c>
      <c r="E357" s="1">
        <v>22</v>
      </c>
    </row>
    <row r="358" spans="1:5" x14ac:dyDescent="0.3">
      <c r="A358" t="s">
        <v>26</v>
      </c>
      <c r="B358" s="8" t="s">
        <v>8</v>
      </c>
      <c r="C358">
        <v>9</v>
      </c>
      <c r="D358" s="1" t="s">
        <v>12</v>
      </c>
      <c r="E358" s="49">
        <v>11</v>
      </c>
    </row>
    <row r="359" spans="1:5" x14ac:dyDescent="0.3">
      <c r="A359" t="s">
        <v>26</v>
      </c>
      <c r="B359" s="8" t="s">
        <v>19</v>
      </c>
      <c r="C359">
        <v>10</v>
      </c>
      <c r="D359" s="1" t="s">
        <v>12</v>
      </c>
      <c r="E359" s="48">
        <v>9</v>
      </c>
    </row>
    <row r="360" spans="1:5" x14ac:dyDescent="0.3">
      <c r="A360" t="s">
        <v>26</v>
      </c>
      <c r="B360" s="8" t="s">
        <v>21</v>
      </c>
      <c r="C360">
        <v>11</v>
      </c>
      <c r="D360" s="1" t="s">
        <v>12</v>
      </c>
      <c r="E360" s="4">
        <v>14</v>
      </c>
    </row>
    <row r="361" spans="1:5" x14ac:dyDescent="0.3">
      <c r="A361" t="s">
        <v>26</v>
      </c>
      <c r="B361" s="8" t="s">
        <v>20</v>
      </c>
      <c r="C361">
        <v>12</v>
      </c>
      <c r="D361" s="1" t="s">
        <v>12</v>
      </c>
      <c r="E361" s="49">
        <v>10</v>
      </c>
    </row>
    <row r="362" spans="1:5" x14ac:dyDescent="0.3">
      <c r="A362" s="13" t="s">
        <v>22</v>
      </c>
      <c r="B362" s="8" t="s">
        <v>0</v>
      </c>
      <c r="C362">
        <v>1</v>
      </c>
      <c r="D362" s="2" t="s">
        <v>18</v>
      </c>
      <c r="E362" s="1">
        <v>0</v>
      </c>
    </row>
    <row r="363" spans="1:5" x14ac:dyDescent="0.3">
      <c r="A363" t="s">
        <v>22</v>
      </c>
      <c r="B363" s="8" t="s">
        <v>1</v>
      </c>
      <c r="C363">
        <v>2</v>
      </c>
      <c r="D363" s="1" t="s">
        <v>18</v>
      </c>
      <c r="E363" s="1">
        <v>0</v>
      </c>
    </row>
    <row r="364" spans="1:5" x14ac:dyDescent="0.3">
      <c r="A364" t="s">
        <v>22</v>
      </c>
      <c r="B364" s="8" t="s">
        <v>2</v>
      </c>
      <c r="C364">
        <v>3</v>
      </c>
      <c r="D364" s="1" t="s">
        <v>18</v>
      </c>
      <c r="E364" s="1">
        <v>0</v>
      </c>
    </row>
    <row r="365" spans="1:5" x14ac:dyDescent="0.3">
      <c r="A365" t="s">
        <v>22</v>
      </c>
      <c r="B365" s="8" t="s">
        <v>3</v>
      </c>
      <c r="C365">
        <v>4</v>
      </c>
      <c r="D365" s="1" t="s">
        <v>18</v>
      </c>
      <c r="E365" s="1">
        <v>0</v>
      </c>
    </row>
    <row r="366" spans="1:5" x14ac:dyDescent="0.3">
      <c r="A366" t="s">
        <v>22</v>
      </c>
      <c r="B366" s="8" t="s">
        <v>4</v>
      </c>
      <c r="C366">
        <v>5</v>
      </c>
      <c r="D366" s="1" t="s">
        <v>18</v>
      </c>
      <c r="E366" s="1">
        <v>0</v>
      </c>
    </row>
    <row r="367" spans="1:5" x14ac:dyDescent="0.3">
      <c r="A367" t="s">
        <v>22</v>
      </c>
      <c r="B367" s="8" t="s">
        <v>5</v>
      </c>
      <c r="C367">
        <v>6</v>
      </c>
      <c r="D367" s="1" t="s">
        <v>18</v>
      </c>
      <c r="E367" s="1">
        <v>0</v>
      </c>
    </row>
    <row r="368" spans="1:5" x14ac:dyDescent="0.3">
      <c r="A368" t="s">
        <v>22</v>
      </c>
      <c r="B368" s="8" t="s">
        <v>6</v>
      </c>
      <c r="C368">
        <v>7</v>
      </c>
      <c r="D368" s="1" t="s">
        <v>18</v>
      </c>
      <c r="E368" s="1">
        <v>0</v>
      </c>
    </row>
    <row r="369" spans="1:5" x14ac:dyDescent="0.3">
      <c r="A369" t="s">
        <v>22</v>
      </c>
      <c r="B369" s="8" t="s">
        <v>7</v>
      </c>
      <c r="C369">
        <v>8</v>
      </c>
      <c r="D369" s="1" t="s">
        <v>18</v>
      </c>
      <c r="E369" s="1">
        <v>0</v>
      </c>
    </row>
    <row r="370" spans="1:5" x14ac:dyDescent="0.3">
      <c r="A370" t="s">
        <v>22</v>
      </c>
      <c r="B370" s="8" t="s">
        <v>8</v>
      </c>
      <c r="C370">
        <v>9</v>
      </c>
      <c r="D370" s="1" t="s">
        <v>18</v>
      </c>
      <c r="E370" s="1">
        <v>0</v>
      </c>
    </row>
    <row r="371" spans="1:5" x14ac:dyDescent="0.3">
      <c r="A371" t="s">
        <v>22</v>
      </c>
      <c r="B371" s="8" t="s">
        <v>19</v>
      </c>
      <c r="C371">
        <v>10</v>
      </c>
      <c r="D371" s="1" t="s">
        <v>18</v>
      </c>
      <c r="E371" s="8">
        <v>0</v>
      </c>
    </row>
    <row r="372" spans="1:5" x14ac:dyDescent="0.3">
      <c r="A372" t="s">
        <v>22</v>
      </c>
      <c r="B372" s="8" t="s">
        <v>21</v>
      </c>
      <c r="C372">
        <v>11</v>
      </c>
      <c r="D372" s="1" t="s">
        <v>18</v>
      </c>
      <c r="E372" s="8">
        <v>0</v>
      </c>
    </row>
    <row r="373" spans="1:5" x14ac:dyDescent="0.3">
      <c r="A373" t="s">
        <v>22</v>
      </c>
      <c r="B373" s="8" t="s">
        <v>20</v>
      </c>
      <c r="C373">
        <v>12</v>
      </c>
      <c r="D373" s="1" t="s">
        <v>18</v>
      </c>
      <c r="E373" s="8">
        <v>0</v>
      </c>
    </row>
    <row r="374" spans="1:5" x14ac:dyDescent="0.3">
      <c r="A374" s="13" t="s">
        <v>23</v>
      </c>
      <c r="B374" s="8" t="s">
        <v>0</v>
      </c>
      <c r="C374">
        <v>1</v>
      </c>
      <c r="D374" s="1" t="s">
        <v>18</v>
      </c>
      <c r="E374" s="1">
        <v>0</v>
      </c>
    </row>
    <row r="375" spans="1:5" x14ac:dyDescent="0.3">
      <c r="A375" t="s">
        <v>23</v>
      </c>
      <c r="B375" s="8" t="s">
        <v>1</v>
      </c>
      <c r="C375">
        <v>2</v>
      </c>
      <c r="D375" s="1" t="s">
        <v>18</v>
      </c>
      <c r="E375" s="48">
        <v>0</v>
      </c>
    </row>
    <row r="376" spans="1:5" x14ac:dyDescent="0.3">
      <c r="A376" t="s">
        <v>23</v>
      </c>
      <c r="B376" s="8" t="s">
        <v>2</v>
      </c>
      <c r="C376">
        <v>3</v>
      </c>
      <c r="D376" s="1" t="s">
        <v>18</v>
      </c>
      <c r="E376" s="1">
        <v>4</v>
      </c>
    </row>
    <row r="377" spans="1:5" x14ac:dyDescent="0.3">
      <c r="A377" t="s">
        <v>23</v>
      </c>
      <c r="B377" s="8" t="s">
        <v>3</v>
      </c>
      <c r="C377">
        <v>4</v>
      </c>
      <c r="D377" s="1" t="s">
        <v>18</v>
      </c>
      <c r="E377" s="48">
        <v>21</v>
      </c>
    </row>
    <row r="378" spans="1:5" x14ac:dyDescent="0.3">
      <c r="A378" t="s">
        <v>23</v>
      </c>
      <c r="B378" s="8" t="s">
        <v>4</v>
      </c>
      <c r="C378">
        <v>5</v>
      </c>
      <c r="D378" s="1" t="s">
        <v>18</v>
      </c>
      <c r="E378" s="49">
        <v>22</v>
      </c>
    </row>
    <row r="379" spans="1:5" x14ac:dyDescent="0.3">
      <c r="A379" t="s">
        <v>23</v>
      </c>
      <c r="B379" s="8" t="s">
        <v>5</v>
      </c>
      <c r="C379">
        <v>6</v>
      </c>
      <c r="D379" s="1" t="s">
        <v>18</v>
      </c>
      <c r="E379" s="1">
        <v>66</v>
      </c>
    </row>
    <row r="380" spans="1:5" x14ac:dyDescent="0.3">
      <c r="A380" t="s">
        <v>23</v>
      </c>
      <c r="B380" s="8" t="s">
        <v>6</v>
      </c>
      <c r="C380">
        <v>7</v>
      </c>
      <c r="D380" s="1" t="s">
        <v>18</v>
      </c>
      <c r="E380" s="48">
        <v>84</v>
      </c>
    </row>
    <row r="381" spans="1:5" x14ac:dyDescent="0.3">
      <c r="A381" t="s">
        <v>23</v>
      </c>
      <c r="B381" s="8" t="s">
        <v>7</v>
      </c>
      <c r="C381">
        <v>8</v>
      </c>
      <c r="D381" s="1" t="s">
        <v>18</v>
      </c>
      <c r="E381" s="1">
        <v>16</v>
      </c>
    </row>
    <row r="382" spans="1:5" x14ac:dyDescent="0.3">
      <c r="A382" t="s">
        <v>23</v>
      </c>
      <c r="B382" s="8" t="s">
        <v>8</v>
      </c>
      <c r="C382">
        <v>9</v>
      </c>
      <c r="D382" s="1" t="s">
        <v>18</v>
      </c>
      <c r="E382" s="48">
        <v>13</v>
      </c>
    </row>
    <row r="383" spans="1:5" x14ac:dyDescent="0.3">
      <c r="A383" t="s">
        <v>23</v>
      </c>
      <c r="B383" s="8" t="s">
        <v>19</v>
      </c>
      <c r="C383">
        <v>10</v>
      </c>
      <c r="D383" s="1" t="s">
        <v>18</v>
      </c>
      <c r="E383" s="48">
        <v>14</v>
      </c>
    </row>
    <row r="384" spans="1:5" x14ac:dyDescent="0.3">
      <c r="A384" t="s">
        <v>23</v>
      </c>
      <c r="B384" s="8" t="s">
        <v>21</v>
      </c>
      <c r="C384">
        <v>11</v>
      </c>
      <c r="D384" s="1" t="s">
        <v>18</v>
      </c>
      <c r="E384" s="1">
        <v>21</v>
      </c>
    </row>
    <row r="385" spans="1:5" x14ac:dyDescent="0.3">
      <c r="A385" t="s">
        <v>23</v>
      </c>
      <c r="B385" s="8" t="s">
        <v>20</v>
      </c>
      <c r="C385">
        <v>12</v>
      </c>
      <c r="D385" s="1" t="s">
        <v>18</v>
      </c>
      <c r="E385" s="48">
        <v>26</v>
      </c>
    </row>
    <row r="386" spans="1:5" x14ac:dyDescent="0.3">
      <c r="A386" s="13" t="s">
        <v>24</v>
      </c>
      <c r="B386" s="8" t="s">
        <v>0</v>
      </c>
      <c r="C386">
        <v>1</v>
      </c>
      <c r="D386" s="1" t="s">
        <v>18</v>
      </c>
      <c r="E386" s="4">
        <v>25</v>
      </c>
    </row>
    <row r="387" spans="1:5" x14ac:dyDescent="0.3">
      <c r="A387" t="s">
        <v>24</v>
      </c>
      <c r="B387" s="8" t="s">
        <v>1</v>
      </c>
      <c r="C387">
        <v>2</v>
      </c>
      <c r="D387" s="1" t="s">
        <v>18</v>
      </c>
      <c r="E387" s="49">
        <v>28</v>
      </c>
    </row>
    <row r="388" spans="1:5" x14ac:dyDescent="0.3">
      <c r="A388" t="s">
        <v>24</v>
      </c>
      <c r="B388" s="8" t="s">
        <v>2</v>
      </c>
      <c r="C388">
        <v>3</v>
      </c>
      <c r="D388" s="1" t="s">
        <v>18</v>
      </c>
      <c r="E388" s="1">
        <v>38</v>
      </c>
    </row>
    <row r="389" spans="1:5" x14ac:dyDescent="0.3">
      <c r="A389" t="s">
        <v>24</v>
      </c>
      <c r="B389" s="8" t="s">
        <v>3</v>
      </c>
      <c r="C389">
        <v>4</v>
      </c>
      <c r="D389" s="1" t="s">
        <v>18</v>
      </c>
      <c r="E389" s="49">
        <v>29</v>
      </c>
    </row>
    <row r="390" spans="1:5" x14ac:dyDescent="0.3">
      <c r="A390" t="s">
        <v>24</v>
      </c>
      <c r="B390" s="8" t="s">
        <v>4</v>
      </c>
      <c r="C390">
        <v>5</v>
      </c>
      <c r="D390" s="1" t="s">
        <v>18</v>
      </c>
      <c r="E390" s="48">
        <v>15</v>
      </c>
    </row>
    <row r="391" spans="1:5" x14ac:dyDescent="0.3">
      <c r="A391" t="s">
        <v>24</v>
      </c>
      <c r="B391" s="8" t="s">
        <v>5</v>
      </c>
      <c r="C391">
        <v>6</v>
      </c>
      <c r="D391" s="1" t="s">
        <v>18</v>
      </c>
      <c r="E391" s="1">
        <v>32</v>
      </c>
    </row>
    <row r="392" spans="1:5" x14ac:dyDescent="0.3">
      <c r="A392" t="s">
        <v>24</v>
      </c>
      <c r="B392" s="8" t="s">
        <v>6</v>
      </c>
      <c r="C392">
        <v>7</v>
      </c>
      <c r="D392" s="1" t="s">
        <v>18</v>
      </c>
      <c r="E392" s="48">
        <v>73</v>
      </c>
    </row>
    <row r="393" spans="1:5" x14ac:dyDescent="0.3">
      <c r="A393" t="s">
        <v>24</v>
      </c>
      <c r="B393" s="8" t="s">
        <v>7</v>
      </c>
      <c r="C393">
        <v>8</v>
      </c>
      <c r="D393" s="1" t="s">
        <v>18</v>
      </c>
      <c r="E393" s="1">
        <v>24</v>
      </c>
    </row>
    <row r="394" spans="1:5" x14ac:dyDescent="0.3">
      <c r="A394" t="s">
        <v>24</v>
      </c>
      <c r="B394" s="8" t="s">
        <v>8</v>
      </c>
      <c r="C394">
        <v>9</v>
      </c>
      <c r="D394" s="1" t="s">
        <v>18</v>
      </c>
      <c r="E394" s="48">
        <v>26</v>
      </c>
    </row>
    <row r="395" spans="1:5" x14ac:dyDescent="0.3">
      <c r="A395" t="s">
        <v>24</v>
      </c>
      <c r="B395" s="8" t="s">
        <v>19</v>
      </c>
      <c r="C395">
        <v>10</v>
      </c>
      <c r="D395" s="1" t="s">
        <v>18</v>
      </c>
      <c r="E395" s="48">
        <v>18</v>
      </c>
    </row>
    <row r="396" spans="1:5" x14ac:dyDescent="0.3">
      <c r="A396" t="s">
        <v>24</v>
      </c>
      <c r="B396" s="8" t="s">
        <v>21</v>
      </c>
      <c r="C396">
        <v>11</v>
      </c>
      <c r="D396" s="1" t="s">
        <v>18</v>
      </c>
      <c r="E396" s="1">
        <v>39</v>
      </c>
    </row>
    <row r="397" spans="1:5" x14ac:dyDescent="0.3">
      <c r="A397" t="s">
        <v>24</v>
      </c>
      <c r="B397" s="8" t="s">
        <v>20</v>
      </c>
      <c r="C397">
        <v>12</v>
      </c>
      <c r="D397" s="1" t="s">
        <v>18</v>
      </c>
      <c r="E397" s="48">
        <v>43</v>
      </c>
    </row>
    <row r="398" spans="1:5" x14ac:dyDescent="0.3">
      <c r="A398" s="13" t="s">
        <v>25</v>
      </c>
      <c r="B398" s="8" t="s">
        <v>0</v>
      </c>
      <c r="C398">
        <v>1</v>
      </c>
      <c r="D398" s="1" t="s">
        <v>18</v>
      </c>
      <c r="E398" s="4">
        <v>29</v>
      </c>
    </row>
    <row r="399" spans="1:5" x14ac:dyDescent="0.3">
      <c r="A399" t="s">
        <v>25</v>
      </c>
      <c r="B399" s="8" t="s">
        <v>1</v>
      </c>
      <c r="C399">
        <v>2</v>
      </c>
      <c r="D399" s="1" t="s">
        <v>18</v>
      </c>
      <c r="E399" s="49">
        <v>31</v>
      </c>
    </row>
    <row r="400" spans="1:5" x14ac:dyDescent="0.3">
      <c r="A400" t="s">
        <v>25</v>
      </c>
      <c r="B400" s="8" t="s">
        <v>2</v>
      </c>
      <c r="C400">
        <v>3</v>
      </c>
      <c r="D400" s="1" t="s">
        <v>18</v>
      </c>
      <c r="E400" s="1">
        <v>25</v>
      </c>
    </row>
    <row r="401" spans="1:5" x14ac:dyDescent="0.3">
      <c r="A401" t="s">
        <v>25</v>
      </c>
      <c r="B401" s="8" t="s">
        <v>3</v>
      </c>
      <c r="C401">
        <v>4</v>
      </c>
      <c r="D401" s="1" t="s">
        <v>18</v>
      </c>
      <c r="E401" s="49">
        <v>41</v>
      </c>
    </row>
    <row r="402" spans="1:5" x14ac:dyDescent="0.3">
      <c r="A402" t="s">
        <v>25</v>
      </c>
      <c r="B402" s="8" t="s">
        <v>4</v>
      </c>
      <c r="C402">
        <v>5</v>
      </c>
      <c r="D402" s="1" t="s">
        <v>18</v>
      </c>
      <c r="E402" s="49">
        <v>36</v>
      </c>
    </row>
    <row r="403" spans="1:5" x14ac:dyDescent="0.3">
      <c r="A403" t="s">
        <v>25</v>
      </c>
      <c r="B403" s="8" t="s">
        <v>5</v>
      </c>
      <c r="C403">
        <v>6</v>
      </c>
      <c r="D403" s="1" t="s">
        <v>18</v>
      </c>
      <c r="E403" s="1">
        <v>75</v>
      </c>
    </row>
    <row r="404" spans="1:5" x14ac:dyDescent="0.3">
      <c r="A404" t="s">
        <v>25</v>
      </c>
      <c r="B404" s="8" t="s">
        <v>6</v>
      </c>
      <c r="C404">
        <v>7</v>
      </c>
      <c r="D404" s="1" t="s">
        <v>18</v>
      </c>
      <c r="E404" s="48">
        <v>59</v>
      </c>
    </row>
    <row r="405" spans="1:5" x14ac:dyDescent="0.3">
      <c r="A405" t="s">
        <v>25</v>
      </c>
      <c r="B405" s="8" t="s">
        <v>7</v>
      </c>
      <c r="C405">
        <v>8</v>
      </c>
      <c r="D405" s="1" t="s">
        <v>18</v>
      </c>
      <c r="E405" s="1">
        <v>39</v>
      </c>
    </row>
    <row r="406" spans="1:5" x14ac:dyDescent="0.3">
      <c r="A406" t="s">
        <v>25</v>
      </c>
      <c r="B406" s="8" t="s">
        <v>8</v>
      </c>
      <c r="C406">
        <v>9</v>
      </c>
      <c r="D406" s="1" t="s">
        <v>18</v>
      </c>
      <c r="E406" s="48">
        <v>33</v>
      </c>
    </row>
    <row r="407" spans="1:5" x14ac:dyDescent="0.3">
      <c r="A407" t="s">
        <v>25</v>
      </c>
      <c r="B407" s="8" t="s">
        <v>19</v>
      </c>
      <c r="C407">
        <v>10</v>
      </c>
      <c r="D407" s="1" t="s">
        <v>18</v>
      </c>
      <c r="E407" s="48">
        <v>21</v>
      </c>
    </row>
    <row r="408" spans="1:5" x14ac:dyDescent="0.3">
      <c r="A408" t="s">
        <v>25</v>
      </c>
      <c r="B408" s="8" t="s">
        <v>21</v>
      </c>
      <c r="C408">
        <v>11</v>
      </c>
      <c r="D408" s="1" t="s">
        <v>18</v>
      </c>
      <c r="E408" s="1">
        <v>38</v>
      </c>
    </row>
    <row r="409" spans="1:5" x14ac:dyDescent="0.3">
      <c r="A409" t="s">
        <v>25</v>
      </c>
      <c r="B409" s="8" t="s">
        <v>20</v>
      </c>
      <c r="C409">
        <v>12</v>
      </c>
      <c r="D409" s="1" t="s">
        <v>18</v>
      </c>
      <c r="E409" s="48">
        <v>35</v>
      </c>
    </row>
    <row r="410" spans="1:5" x14ac:dyDescent="0.3">
      <c r="A410" s="13" t="s">
        <v>26</v>
      </c>
      <c r="B410" s="8" t="s">
        <v>0</v>
      </c>
      <c r="C410">
        <v>1</v>
      </c>
      <c r="D410" s="1" t="s">
        <v>18</v>
      </c>
      <c r="E410" s="4">
        <v>48</v>
      </c>
    </row>
    <row r="411" spans="1:5" x14ac:dyDescent="0.3">
      <c r="A411" t="s">
        <v>26</v>
      </c>
      <c r="B411" s="8" t="s">
        <v>1</v>
      </c>
      <c r="C411">
        <v>2</v>
      </c>
      <c r="D411" s="1" t="s">
        <v>18</v>
      </c>
      <c r="E411" s="49">
        <v>39</v>
      </c>
    </row>
    <row r="412" spans="1:5" x14ac:dyDescent="0.3">
      <c r="A412" t="s">
        <v>26</v>
      </c>
      <c r="B412" s="8" t="s">
        <v>2</v>
      </c>
      <c r="C412">
        <v>3</v>
      </c>
      <c r="D412" s="1" t="s">
        <v>18</v>
      </c>
      <c r="E412" s="1">
        <v>39</v>
      </c>
    </row>
    <row r="413" spans="1:5" x14ac:dyDescent="0.3">
      <c r="A413" t="s">
        <v>26</v>
      </c>
      <c r="B413" s="8" t="s">
        <v>3</v>
      </c>
      <c r="C413">
        <v>4</v>
      </c>
      <c r="D413" s="1" t="s">
        <v>18</v>
      </c>
      <c r="E413" s="49">
        <v>25</v>
      </c>
    </row>
    <row r="414" spans="1:5" x14ac:dyDescent="0.3">
      <c r="A414" t="s">
        <v>26</v>
      </c>
      <c r="B414" s="8" t="s">
        <v>4</v>
      </c>
      <c r="C414">
        <v>5</v>
      </c>
      <c r="D414" s="1" t="s">
        <v>18</v>
      </c>
      <c r="E414" s="49">
        <v>18</v>
      </c>
    </row>
    <row r="415" spans="1:5" x14ac:dyDescent="0.3">
      <c r="A415" t="s">
        <v>26</v>
      </c>
      <c r="B415" s="8" t="s">
        <v>5</v>
      </c>
      <c r="C415">
        <v>6</v>
      </c>
      <c r="D415" s="1" t="s">
        <v>18</v>
      </c>
      <c r="E415" s="1">
        <v>69</v>
      </c>
    </row>
    <row r="416" spans="1:5" x14ac:dyDescent="0.3">
      <c r="A416" t="s">
        <v>26</v>
      </c>
      <c r="B416" s="8" t="s">
        <v>6</v>
      </c>
      <c r="C416">
        <v>7</v>
      </c>
      <c r="D416" s="1" t="s">
        <v>18</v>
      </c>
      <c r="E416" s="48">
        <v>19</v>
      </c>
    </row>
    <row r="417" spans="1:5" x14ac:dyDescent="0.3">
      <c r="A417" t="s">
        <v>26</v>
      </c>
      <c r="B417" s="8" t="s">
        <v>7</v>
      </c>
      <c r="C417">
        <v>8</v>
      </c>
      <c r="D417" s="1" t="s">
        <v>18</v>
      </c>
      <c r="E417" s="1">
        <v>22</v>
      </c>
    </row>
    <row r="418" spans="1:5" x14ac:dyDescent="0.3">
      <c r="A418" t="s">
        <v>26</v>
      </c>
      <c r="B418" s="8" t="s">
        <v>8</v>
      </c>
      <c r="C418">
        <v>9</v>
      </c>
      <c r="D418" s="1" t="s">
        <v>18</v>
      </c>
      <c r="E418" s="48">
        <v>37</v>
      </c>
    </row>
    <row r="419" spans="1:5" x14ac:dyDescent="0.3">
      <c r="A419" t="s">
        <v>26</v>
      </c>
      <c r="B419" s="8" t="s">
        <v>19</v>
      </c>
      <c r="C419">
        <v>10</v>
      </c>
      <c r="D419" s="1" t="s">
        <v>18</v>
      </c>
      <c r="E419" s="49">
        <v>20</v>
      </c>
    </row>
    <row r="420" spans="1:5" x14ac:dyDescent="0.3">
      <c r="A420" t="s">
        <v>26</v>
      </c>
      <c r="B420" s="8" t="s">
        <v>21</v>
      </c>
      <c r="C420">
        <v>11</v>
      </c>
      <c r="D420" s="1" t="s">
        <v>18</v>
      </c>
      <c r="E420" s="4">
        <v>27</v>
      </c>
    </row>
    <row r="421" spans="1:5" x14ac:dyDescent="0.3">
      <c r="A421" t="s">
        <v>26</v>
      </c>
      <c r="B421" s="8" t="s">
        <v>20</v>
      </c>
      <c r="C421">
        <v>12</v>
      </c>
      <c r="D421" s="1" t="s">
        <v>18</v>
      </c>
      <c r="E421" s="48">
        <v>36</v>
      </c>
    </row>
    <row r="422" spans="1:5" x14ac:dyDescent="0.3">
      <c r="A422" s="13" t="s">
        <v>22</v>
      </c>
      <c r="B422" s="8" t="s">
        <v>0</v>
      </c>
      <c r="C422">
        <v>1</v>
      </c>
      <c r="D422" s="2" t="s">
        <v>17</v>
      </c>
      <c r="E422" s="1">
        <v>30</v>
      </c>
    </row>
    <row r="423" spans="1:5" x14ac:dyDescent="0.3">
      <c r="A423" t="s">
        <v>22</v>
      </c>
      <c r="B423" s="8" t="s">
        <v>1</v>
      </c>
      <c r="C423">
        <v>2</v>
      </c>
      <c r="D423" s="1" t="s">
        <v>17</v>
      </c>
      <c r="E423" s="48">
        <v>53</v>
      </c>
    </row>
    <row r="424" spans="1:5" x14ac:dyDescent="0.3">
      <c r="A424" t="s">
        <v>22</v>
      </c>
      <c r="B424" s="8" t="s">
        <v>2</v>
      </c>
      <c r="C424">
        <v>3</v>
      </c>
      <c r="D424" s="1" t="s">
        <v>17</v>
      </c>
      <c r="E424" s="1">
        <v>46</v>
      </c>
    </row>
    <row r="425" spans="1:5" x14ac:dyDescent="0.3">
      <c r="A425" t="s">
        <v>22</v>
      </c>
      <c r="B425" s="8" t="s">
        <v>3</v>
      </c>
      <c r="C425">
        <v>4</v>
      </c>
      <c r="D425" s="1" t="s">
        <v>17</v>
      </c>
      <c r="E425" s="48">
        <v>49</v>
      </c>
    </row>
    <row r="426" spans="1:5" x14ac:dyDescent="0.3">
      <c r="A426" t="s">
        <v>22</v>
      </c>
      <c r="B426" s="8" t="s">
        <v>4</v>
      </c>
      <c r="C426">
        <v>5</v>
      </c>
      <c r="D426" s="1" t="s">
        <v>17</v>
      </c>
      <c r="E426" s="48">
        <v>52</v>
      </c>
    </row>
    <row r="427" spans="1:5" x14ac:dyDescent="0.3">
      <c r="A427" t="s">
        <v>22</v>
      </c>
      <c r="B427" s="8" t="s">
        <v>5</v>
      </c>
      <c r="C427">
        <v>6</v>
      </c>
      <c r="D427" s="1" t="s">
        <v>17</v>
      </c>
      <c r="E427" s="1">
        <v>60</v>
      </c>
    </row>
    <row r="428" spans="1:5" x14ac:dyDescent="0.3">
      <c r="A428" t="s">
        <v>22</v>
      </c>
      <c r="B428" s="8" t="s">
        <v>6</v>
      </c>
      <c r="C428">
        <v>7</v>
      </c>
      <c r="D428" s="1" t="s">
        <v>17</v>
      </c>
      <c r="E428" s="48">
        <v>48</v>
      </c>
    </row>
    <row r="429" spans="1:5" x14ac:dyDescent="0.3">
      <c r="A429" t="s">
        <v>22</v>
      </c>
      <c r="B429" s="8" t="s">
        <v>7</v>
      </c>
      <c r="C429">
        <v>8</v>
      </c>
      <c r="D429" s="1" t="s">
        <v>17</v>
      </c>
      <c r="E429" s="1">
        <v>41</v>
      </c>
    </row>
    <row r="430" spans="1:5" x14ac:dyDescent="0.3">
      <c r="A430" t="s">
        <v>22</v>
      </c>
      <c r="B430" s="8" t="s">
        <v>8</v>
      </c>
      <c r="C430">
        <v>9</v>
      </c>
      <c r="D430" s="1" t="s">
        <v>17</v>
      </c>
      <c r="E430" s="49">
        <v>41</v>
      </c>
    </row>
    <row r="431" spans="1:5" x14ac:dyDescent="0.3">
      <c r="A431" t="s">
        <v>22</v>
      </c>
      <c r="B431" s="8" t="s">
        <v>19</v>
      </c>
      <c r="C431">
        <v>10</v>
      </c>
      <c r="D431" s="1" t="s">
        <v>17</v>
      </c>
      <c r="E431" s="48">
        <v>47</v>
      </c>
    </row>
    <row r="432" spans="1:5" x14ac:dyDescent="0.3">
      <c r="A432" t="s">
        <v>22</v>
      </c>
      <c r="B432" s="8" t="s">
        <v>21</v>
      </c>
      <c r="C432">
        <v>11</v>
      </c>
      <c r="D432" s="1" t="s">
        <v>17</v>
      </c>
      <c r="E432" s="1">
        <v>43</v>
      </c>
    </row>
    <row r="433" spans="1:5" x14ac:dyDescent="0.3">
      <c r="A433" t="s">
        <v>22</v>
      </c>
      <c r="B433" s="8" t="s">
        <v>20</v>
      </c>
      <c r="C433">
        <v>12</v>
      </c>
      <c r="D433" s="1" t="s">
        <v>17</v>
      </c>
      <c r="E433" s="48">
        <v>46</v>
      </c>
    </row>
    <row r="434" spans="1:5" x14ac:dyDescent="0.3">
      <c r="A434" s="13" t="s">
        <v>23</v>
      </c>
      <c r="B434" s="8" t="s">
        <v>0</v>
      </c>
      <c r="C434">
        <v>1</v>
      </c>
      <c r="D434" s="1" t="s">
        <v>17</v>
      </c>
      <c r="E434" s="4">
        <v>46</v>
      </c>
    </row>
    <row r="435" spans="1:5" x14ac:dyDescent="0.3">
      <c r="A435" t="s">
        <v>23</v>
      </c>
      <c r="B435" s="8" t="s">
        <v>1</v>
      </c>
      <c r="C435">
        <v>2</v>
      </c>
      <c r="D435" s="1" t="s">
        <v>17</v>
      </c>
      <c r="E435" s="48">
        <v>48</v>
      </c>
    </row>
    <row r="436" spans="1:5" x14ac:dyDescent="0.3">
      <c r="A436" t="s">
        <v>23</v>
      </c>
      <c r="B436" s="8" t="s">
        <v>2</v>
      </c>
      <c r="C436">
        <v>3</v>
      </c>
      <c r="D436" s="1" t="s">
        <v>17</v>
      </c>
      <c r="E436" s="4">
        <v>72</v>
      </c>
    </row>
    <row r="437" spans="1:5" x14ac:dyDescent="0.3">
      <c r="A437" t="s">
        <v>23</v>
      </c>
      <c r="B437" s="8" t="s">
        <v>3</v>
      </c>
      <c r="C437">
        <v>4</v>
      </c>
      <c r="D437" s="1" t="s">
        <v>17</v>
      </c>
      <c r="E437" s="49">
        <v>63</v>
      </c>
    </row>
    <row r="438" spans="1:5" x14ac:dyDescent="0.3">
      <c r="A438" t="s">
        <v>23</v>
      </c>
      <c r="B438" s="8" t="s">
        <v>4</v>
      </c>
      <c r="C438">
        <v>5</v>
      </c>
      <c r="D438" s="1" t="s">
        <v>17</v>
      </c>
      <c r="E438" s="48">
        <v>55</v>
      </c>
    </row>
    <row r="439" spans="1:5" x14ac:dyDescent="0.3">
      <c r="A439" t="s">
        <v>23</v>
      </c>
      <c r="B439" s="8" t="s">
        <v>5</v>
      </c>
      <c r="C439">
        <v>6</v>
      </c>
      <c r="D439" s="1" t="s">
        <v>17</v>
      </c>
      <c r="E439" s="4">
        <v>57</v>
      </c>
    </row>
    <row r="440" spans="1:5" x14ac:dyDescent="0.3">
      <c r="A440" t="s">
        <v>23</v>
      </c>
      <c r="B440" s="8" t="s">
        <v>6</v>
      </c>
      <c r="C440">
        <v>7</v>
      </c>
      <c r="D440" s="1" t="s">
        <v>17</v>
      </c>
      <c r="E440" s="49">
        <v>32</v>
      </c>
    </row>
    <row r="441" spans="1:5" x14ac:dyDescent="0.3">
      <c r="A441" t="s">
        <v>23</v>
      </c>
      <c r="B441" s="8" t="s">
        <v>7</v>
      </c>
      <c r="C441">
        <v>8</v>
      </c>
      <c r="D441" s="1" t="s">
        <v>17</v>
      </c>
      <c r="E441" s="4">
        <v>57</v>
      </c>
    </row>
    <row r="442" spans="1:5" x14ac:dyDescent="0.3">
      <c r="A442" t="s">
        <v>23</v>
      </c>
      <c r="B442" s="8" t="s">
        <v>8</v>
      </c>
      <c r="C442">
        <v>9</v>
      </c>
      <c r="D442" s="1" t="s">
        <v>17</v>
      </c>
      <c r="E442" s="49">
        <v>48</v>
      </c>
    </row>
    <row r="443" spans="1:5" x14ac:dyDescent="0.3">
      <c r="A443" t="s">
        <v>23</v>
      </c>
      <c r="B443" s="8" t="s">
        <v>19</v>
      </c>
      <c r="C443">
        <v>10</v>
      </c>
      <c r="D443" s="1" t="s">
        <v>17</v>
      </c>
      <c r="E443" s="49">
        <v>48</v>
      </c>
    </row>
    <row r="444" spans="1:5" x14ac:dyDescent="0.3">
      <c r="A444" t="s">
        <v>23</v>
      </c>
      <c r="B444" s="8" t="s">
        <v>21</v>
      </c>
      <c r="C444">
        <v>11</v>
      </c>
      <c r="D444" s="1" t="s">
        <v>17</v>
      </c>
      <c r="E444" s="4">
        <v>52</v>
      </c>
    </row>
    <row r="445" spans="1:5" x14ac:dyDescent="0.3">
      <c r="A445" t="s">
        <v>23</v>
      </c>
      <c r="B445" s="8" t="s">
        <v>20</v>
      </c>
      <c r="C445">
        <v>12</v>
      </c>
      <c r="D445" s="1" t="s">
        <v>17</v>
      </c>
      <c r="E445" s="49">
        <v>58</v>
      </c>
    </row>
    <row r="446" spans="1:5" x14ac:dyDescent="0.3">
      <c r="A446" s="13" t="s">
        <v>24</v>
      </c>
      <c r="B446" s="8" t="s">
        <v>0</v>
      </c>
      <c r="C446">
        <v>1</v>
      </c>
      <c r="D446" s="1" t="s">
        <v>17</v>
      </c>
      <c r="E446" s="4">
        <v>52</v>
      </c>
    </row>
    <row r="447" spans="1:5" x14ac:dyDescent="0.3">
      <c r="A447" t="s">
        <v>24</v>
      </c>
      <c r="B447" s="8" t="s">
        <v>1</v>
      </c>
      <c r="C447">
        <v>2</v>
      </c>
      <c r="D447" s="1" t="s">
        <v>17</v>
      </c>
      <c r="E447" s="49">
        <v>51</v>
      </c>
    </row>
    <row r="448" spans="1:5" x14ac:dyDescent="0.3">
      <c r="A448" t="s">
        <v>24</v>
      </c>
      <c r="B448" s="8" t="s">
        <v>2</v>
      </c>
      <c r="C448">
        <v>3</v>
      </c>
      <c r="D448" s="1" t="s">
        <v>17</v>
      </c>
      <c r="E448" s="1">
        <v>41</v>
      </c>
    </row>
    <row r="449" spans="1:5" x14ac:dyDescent="0.3">
      <c r="A449" t="s">
        <v>24</v>
      </c>
      <c r="B449" s="8" t="s">
        <v>3</v>
      </c>
      <c r="C449">
        <v>4</v>
      </c>
      <c r="D449" s="1" t="s">
        <v>17</v>
      </c>
      <c r="E449" s="49">
        <v>57</v>
      </c>
    </row>
    <row r="450" spans="1:5" x14ac:dyDescent="0.3">
      <c r="A450" t="s">
        <v>24</v>
      </c>
      <c r="B450" s="8" t="s">
        <v>4</v>
      </c>
      <c r="C450">
        <v>5</v>
      </c>
      <c r="D450" s="1" t="s">
        <v>17</v>
      </c>
      <c r="E450" s="48">
        <v>54</v>
      </c>
    </row>
    <row r="451" spans="1:5" x14ac:dyDescent="0.3">
      <c r="A451" t="s">
        <v>24</v>
      </c>
      <c r="B451" s="8" t="s">
        <v>5</v>
      </c>
      <c r="C451">
        <v>6</v>
      </c>
      <c r="D451" s="1" t="s">
        <v>17</v>
      </c>
      <c r="E451" s="1">
        <v>74</v>
      </c>
    </row>
    <row r="452" spans="1:5" x14ac:dyDescent="0.3">
      <c r="A452" t="s">
        <v>24</v>
      </c>
      <c r="B452" s="8" t="s">
        <v>6</v>
      </c>
      <c r="C452">
        <v>7</v>
      </c>
      <c r="D452" s="1" t="s">
        <v>17</v>
      </c>
      <c r="E452" s="48">
        <v>56</v>
      </c>
    </row>
    <row r="453" spans="1:5" x14ac:dyDescent="0.3">
      <c r="A453" t="s">
        <v>24</v>
      </c>
      <c r="B453" s="8" t="s">
        <v>7</v>
      </c>
      <c r="C453">
        <v>8</v>
      </c>
      <c r="D453" s="1" t="s">
        <v>17</v>
      </c>
      <c r="E453" s="4">
        <v>49</v>
      </c>
    </row>
    <row r="454" spans="1:5" x14ac:dyDescent="0.3">
      <c r="A454" t="s">
        <v>24</v>
      </c>
      <c r="B454" s="8" t="s">
        <v>8</v>
      </c>
      <c r="C454">
        <v>9</v>
      </c>
      <c r="D454" s="1" t="s">
        <v>17</v>
      </c>
      <c r="E454" s="49">
        <v>50</v>
      </c>
    </row>
    <row r="455" spans="1:5" x14ac:dyDescent="0.3">
      <c r="A455" t="s">
        <v>24</v>
      </c>
      <c r="B455" s="8" t="s">
        <v>19</v>
      </c>
      <c r="C455">
        <v>10</v>
      </c>
      <c r="D455" s="1" t="s">
        <v>17</v>
      </c>
      <c r="E455" s="48">
        <v>39</v>
      </c>
    </row>
    <row r="456" spans="1:5" x14ac:dyDescent="0.3">
      <c r="A456" t="s">
        <v>24</v>
      </c>
      <c r="B456" s="8" t="s">
        <v>21</v>
      </c>
      <c r="C456">
        <v>11</v>
      </c>
      <c r="D456" s="1" t="s">
        <v>17</v>
      </c>
      <c r="E456" s="1">
        <v>58</v>
      </c>
    </row>
    <row r="457" spans="1:5" x14ac:dyDescent="0.3">
      <c r="A457" t="s">
        <v>24</v>
      </c>
      <c r="B457" s="8" t="s">
        <v>20</v>
      </c>
      <c r="C457">
        <v>12</v>
      </c>
      <c r="D457" s="1" t="s">
        <v>17</v>
      </c>
      <c r="E457" s="48">
        <v>46</v>
      </c>
    </row>
    <row r="458" spans="1:5" x14ac:dyDescent="0.3">
      <c r="A458" s="13" t="s">
        <v>25</v>
      </c>
      <c r="B458" s="8" t="s">
        <v>0</v>
      </c>
      <c r="C458">
        <v>1</v>
      </c>
      <c r="D458" s="1" t="s">
        <v>17</v>
      </c>
      <c r="E458" s="4">
        <v>54</v>
      </c>
    </row>
    <row r="459" spans="1:5" x14ac:dyDescent="0.3">
      <c r="A459" t="s">
        <v>25</v>
      </c>
      <c r="B459" s="8" t="s">
        <v>1</v>
      </c>
      <c r="C459">
        <v>2</v>
      </c>
      <c r="D459" s="1" t="s">
        <v>17</v>
      </c>
      <c r="E459" s="49">
        <v>47</v>
      </c>
    </row>
    <row r="460" spans="1:5" x14ac:dyDescent="0.3">
      <c r="A460" t="s">
        <v>25</v>
      </c>
      <c r="B460" s="8" t="s">
        <v>2</v>
      </c>
      <c r="C460">
        <v>3</v>
      </c>
      <c r="D460" s="1" t="s">
        <v>17</v>
      </c>
      <c r="E460" s="1">
        <v>54</v>
      </c>
    </row>
    <row r="461" spans="1:5" x14ac:dyDescent="0.3">
      <c r="A461" t="s">
        <v>25</v>
      </c>
      <c r="B461" s="8" t="s">
        <v>3</v>
      </c>
      <c r="C461">
        <v>4</v>
      </c>
      <c r="D461" s="1" t="s">
        <v>17</v>
      </c>
      <c r="E461" s="49">
        <v>55</v>
      </c>
    </row>
    <row r="462" spans="1:5" x14ac:dyDescent="0.3">
      <c r="A462" t="s">
        <v>25</v>
      </c>
      <c r="B462" s="8" t="s">
        <v>4</v>
      </c>
      <c r="C462">
        <v>5</v>
      </c>
      <c r="D462" s="1" t="s">
        <v>17</v>
      </c>
      <c r="E462" s="48">
        <v>39</v>
      </c>
    </row>
    <row r="463" spans="1:5" x14ac:dyDescent="0.3">
      <c r="A463" t="s">
        <v>25</v>
      </c>
      <c r="B463" s="8" t="s">
        <v>5</v>
      </c>
      <c r="C463">
        <v>6</v>
      </c>
      <c r="D463" s="1" t="s">
        <v>17</v>
      </c>
      <c r="E463" s="1">
        <v>41</v>
      </c>
    </row>
    <row r="464" spans="1:5" x14ac:dyDescent="0.3">
      <c r="A464" t="s">
        <v>25</v>
      </c>
      <c r="B464" s="8" t="s">
        <v>6</v>
      </c>
      <c r="C464">
        <v>7</v>
      </c>
      <c r="D464" s="1" t="s">
        <v>17</v>
      </c>
      <c r="E464" s="48">
        <v>73</v>
      </c>
    </row>
    <row r="465" spans="1:5" x14ac:dyDescent="0.3">
      <c r="A465" t="s">
        <v>25</v>
      </c>
      <c r="B465" s="8" t="s">
        <v>7</v>
      </c>
      <c r="C465">
        <v>8</v>
      </c>
      <c r="D465" s="1" t="s">
        <v>17</v>
      </c>
      <c r="E465" s="4">
        <v>40</v>
      </c>
    </row>
    <row r="466" spans="1:5" x14ac:dyDescent="0.3">
      <c r="A466" t="s">
        <v>25</v>
      </c>
      <c r="B466" s="8" t="s">
        <v>8</v>
      </c>
      <c r="C466">
        <v>9</v>
      </c>
      <c r="D466" s="1" t="s">
        <v>17</v>
      </c>
      <c r="E466" s="49">
        <v>50</v>
      </c>
    </row>
    <row r="467" spans="1:5" x14ac:dyDescent="0.3">
      <c r="A467" t="s">
        <v>25</v>
      </c>
      <c r="B467" s="8" t="s">
        <v>19</v>
      </c>
      <c r="C467">
        <v>10</v>
      </c>
      <c r="D467" s="1" t="s">
        <v>17</v>
      </c>
      <c r="E467" s="48">
        <v>40</v>
      </c>
    </row>
    <row r="468" spans="1:5" x14ac:dyDescent="0.3">
      <c r="A468" t="s">
        <v>25</v>
      </c>
      <c r="B468" s="8" t="s">
        <v>21</v>
      </c>
      <c r="C468">
        <v>11</v>
      </c>
      <c r="D468" s="1" t="s">
        <v>17</v>
      </c>
      <c r="E468" s="1">
        <v>41</v>
      </c>
    </row>
    <row r="469" spans="1:5" x14ac:dyDescent="0.3">
      <c r="A469" t="s">
        <v>25</v>
      </c>
      <c r="B469" s="8" t="s">
        <v>20</v>
      </c>
      <c r="C469">
        <v>12</v>
      </c>
      <c r="D469" s="1" t="s">
        <v>17</v>
      </c>
      <c r="E469" s="48">
        <v>37</v>
      </c>
    </row>
    <row r="470" spans="1:5" x14ac:dyDescent="0.3">
      <c r="A470" s="13" t="s">
        <v>26</v>
      </c>
      <c r="B470" s="8" t="s">
        <v>0</v>
      </c>
      <c r="C470">
        <v>1</v>
      </c>
      <c r="D470" s="1" t="s">
        <v>17</v>
      </c>
      <c r="E470" s="4">
        <v>37</v>
      </c>
    </row>
    <row r="471" spans="1:5" x14ac:dyDescent="0.3">
      <c r="A471" t="s">
        <v>26</v>
      </c>
      <c r="B471" s="8" t="s">
        <v>1</v>
      </c>
      <c r="C471">
        <v>2</v>
      </c>
      <c r="D471" s="1" t="s">
        <v>17</v>
      </c>
      <c r="E471" s="49">
        <v>41</v>
      </c>
    </row>
    <row r="472" spans="1:5" x14ac:dyDescent="0.3">
      <c r="A472" t="s">
        <v>26</v>
      </c>
      <c r="B472" s="8" t="s">
        <v>2</v>
      </c>
      <c r="C472">
        <v>3</v>
      </c>
      <c r="D472" s="1" t="s">
        <v>17</v>
      </c>
      <c r="E472" s="1">
        <v>39</v>
      </c>
    </row>
    <row r="473" spans="1:5" x14ac:dyDescent="0.3">
      <c r="A473" t="s">
        <v>26</v>
      </c>
      <c r="B473" s="8" t="s">
        <v>3</v>
      </c>
      <c r="C473">
        <v>4</v>
      </c>
      <c r="D473" s="1" t="s">
        <v>17</v>
      </c>
      <c r="E473" s="49">
        <v>70</v>
      </c>
    </row>
    <row r="474" spans="1:5" x14ac:dyDescent="0.3">
      <c r="A474" t="s">
        <v>26</v>
      </c>
      <c r="B474" s="8" t="s">
        <v>4</v>
      </c>
      <c r="C474">
        <v>5</v>
      </c>
      <c r="D474" s="1" t="s">
        <v>17</v>
      </c>
      <c r="E474" s="48">
        <v>32</v>
      </c>
    </row>
    <row r="475" spans="1:5" x14ac:dyDescent="0.3">
      <c r="A475" t="s">
        <v>26</v>
      </c>
      <c r="B475" s="8" t="s">
        <v>5</v>
      </c>
      <c r="C475">
        <v>6</v>
      </c>
      <c r="D475" s="1" t="s">
        <v>17</v>
      </c>
      <c r="E475" s="1">
        <v>51</v>
      </c>
    </row>
    <row r="476" spans="1:5" x14ac:dyDescent="0.3">
      <c r="A476" t="s">
        <v>26</v>
      </c>
      <c r="B476" s="8" t="s">
        <v>6</v>
      </c>
      <c r="C476">
        <v>7</v>
      </c>
      <c r="D476" s="1" t="s">
        <v>17</v>
      </c>
      <c r="E476" s="48">
        <v>32</v>
      </c>
    </row>
    <row r="477" spans="1:5" x14ac:dyDescent="0.3">
      <c r="A477" t="s">
        <v>26</v>
      </c>
      <c r="B477" s="8" t="s">
        <v>7</v>
      </c>
      <c r="C477">
        <v>8</v>
      </c>
      <c r="D477" s="1" t="s">
        <v>17</v>
      </c>
      <c r="E477" s="4">
        <v>71</v>
      </c>
    </row>
    <row r="478" spans="1:5" x14ac:dyDescent="0.3">
      <c r="A478" t="s">
        <v>26</v>
      </c>
      <c r="B478" s="8" t="s">
        <v>8</v>
      </c>
      <c r="C478">
        <v>9</v>
      </c>
      <c r="D478" s="1" t="s">
        <v>17</v>
      </c>
      <c r="E478" s="49">
        <v>51</v>
      </c>
    </row>
    <row r="479" spans="1:5" x14ac:dyDescent="0.3">
      <c r="A479" t="s">
        <v>26</v>
      </c>
      <c r="B479" s="8" t="s">
        <v>19</v>
      </c>
      <c r="C479">
        <v>10</v>
      </c>
      <c r="D479" s="1" t="s">
        <v>17</v>
      </c>
      <c r="E479" s="49">
        <v>53</v>
      </c>
    </row>
    <row r="480" spans="1:5" x14ac:dyDescent="0.3">
      <c r="A480" t="s">
        <v>26</v>
      </c>
      <c r="B480" s="8" t="s">
        <v>21</v>
      </c>
      <c r="C480">
        <v>11</v>
      </c>
      <c r="D480" s="1" t="s">
        <v>17</v>
      </c>
      <c r="E480" s="4">
        <v>57</v>
      </c>
    </row>
    <row r="481" spans="1:5" x14ac:dyDescent="0.3">
      <c r="A481" t="s">
        <v>26</v>
      </c>
      <c r="B481" s="8" t="s">
        <v>20</v>
      </c>
      <c r="C481">
        <v>12</v>
      </c>
      <c r="D481" s="1" t="s">
        <v>17</v>
      </c>
      <c r="E481" s="48">
        <v>59</v>
      </c>
    </row>
    <row r="482" spans="1:5" x14ac:dyDescent="0.3">
      <c r="A482" s="13" t="s">
        <v>22</v>
      </c>
      <c r="B482" s="8" t="s">
        <v>0</v>
      </c>
      <c r="C482">
        <v>1</v>
      </c>
      <c r="D482" s="47" t="s">
        <v>57</v>
      </c>
      <c r="E482" s="43">
        <f>2423
-48</f>
        <v>2375</v>
      </c>
    </row>
    <row r="483" spans="1:5" x14ac:dyDescent="0.3">
      <c r="A483" t="s">
        <v>22</v>
      </c>
      <c r="B483" s="8" t="s">
        <v>1</v>
      </c>
      <c r="C483">
        <v>2</v>
      </c>
      <c r="D483" s="47" t="s">
        <v>57</v>
      </c>
      <c r="E483" s="50">
        <f>2285
-20</f>
        <v>2265</v>
      </c>
    </row>
    <row r="484" spans="1:5" x14ac:dyDescent="0.3">
      <c r="A484" t="s">
        <v>22</v>
      </c>
      <c r="B484" s="8" t="s">
        <v>2</v>
      </c>
      <c r="C484">
        <v>3</v>
      </c>
      <c r="D484" s="47" t="s">
        <v>57</v>
      </c>
      <c r="E484" s="43">
        <f>2858
-37</f>
        <v>2821</v>
      </c>
    </row>
    <row r="485" spans="1:5" x14ac:dyDescent="0.3">
      <c r="A485" t="s">
        <v>22</v>
      </c>
      <c r="B485" s="8" t="s">
        <v>3</v>
      </c>
      <c r="C485">
        <v>4</v>
      </c>
      <c r="D485" s="47" t="s">
        <v>57</v>
      </c>
      <c r="E485" s="51">
        <f>3376
-53</f>
        <v>3323</v>
      </c>
    </row>
    <row r="486" spans="1:5" x14ac:dyDescent="0.3">
      <c r="A486" t="s">
        <v>22</v>
      </c>
      <c r="B486" s="8" t="s">
        <v>4</v>
      </c>
      <c r="C486">
        <v>5</v>
      </c>
      <c r="D486" s="47" t="s">
        <v>57</v>
      </c>
      <c r="E486" s="52">
        <f>3625
-65</f>
        <v>3560</v>
      </c>
    </row>
    <row r="487" spans="1:5" x14ac:dyDescent="0.3">
      <c r="A487" t="s">
        <v>22</v>
      </c>
      <c r="B487" s="8" t="s">
        <v>5</v>
      </c>
      <c r="C487">
        <v>6</v>
      </c>
      <c r="D487" s="47" t="s">
        <v>57</v>
      </c>
      <c r="E487" s="44">
        <f>3393
-72</f>
        <v>3321</v>
      </c>
    </row>
    <row r="488" spans="1:5" x14ac:dyDescent="0.3">
      <c r="A488" t="s">
        <v>22</v>
      </c>
      <c r="B488" s="8" t="s">
        <v>6</v>
      </c>
      <c r="C488">
        <v>7</v>
      </c>
      <c r="D488" s="47" t="s">
        <v>57</v>
      </c>
      <c r="E488" s="53">
        <f>3113
-40</f>
        <v>3073</v>
      </c>
    </row>
    <row r="489" spans="1:5" x14ac:dyDescent="0.3">
      <c r="A489" t="s">
        <v>22</v>
      </c>
      <c r="B489" s="8" t="s">
        <v>7</v>
      </c>
      <c r="C489">
        <v>8</v>
      </c>
      <c r="D489" s="47" t="s">
        <v>57</v>
      </c>
      <c r="E489" s="44">
        <f>2330
-36</f>
        <v>2294</v>
      </c>
    </row>
    <row r="490" spans="1:5" x14ac:dyDescent="0.3">
      <c r="A490" t="s">
        <v>22</v>
      </c>
      <c r="B490" s="8" t="s">
        <v>8</v>
      </c>
      <c r="C490">
        <v>9</v>
      </c>
      <c r="D490" s="47" t="s">
        <v>57</v>
      </c>
      <c r="E490" s="54">
        <f>2374
-30</f>
        <v>2344</v>
      </c>
    </row>
    <row r="491" spans="1:5" x14ac:dyDescent="0.3">
      <c r="A491" t="s">
        <v>22</v>
      </c>
      <c r="B491" s="8" t="s">
        <v>19</v>
      </c>
      <c r="C491">
        <v>10</v>
      </c>
      <c r="D491" s="47" t="s">
        <v>57</v>
      </c>
      <c r="E491" s="50">
        <f>2110
-29</f>
        <v>2081</v>
      </c>
    </row>
    <row r="492" spans="1:5" x14ac:dyDescent="0.3">
      <c r="A492" t="s">
        <v>22</v>
      </c>
      <c r="B492" s="8" t="s">
        <v>21</v>
      </c>
      <c r="C492">
        <v>11</v>
      </c>
      <c r="D492" s="47" t="s">
        <v>57</v>
      </c>
      <c r="E492" s="43">
        <f>2586
-61</f>
        <v>2525</v>
      </c>
    </row>
    <row r="493" spans="1:5" x14ac:dyDescent="0.3">
      <c r="A493" t="s">
        <v>22</v>
      </c>
      <c r="B493" s="8" t="s">
        <v>20</v>
      </c>
      <c r="C493">
        <v>12</v>
      </c>
      <c r="D493" s="47" t="s">
        <v>57</v>
      </c>
      <c r="E493" s="50">
        <f>3078
-28</f>
        <v>3050</v>
      </c>
    </row>
    <row r="494" spans="1:5" x14ac:dyDescent="0.3">
      <c r="A494" s="13" t="s">
        <v>23</v>
      </c>
      <c r="B494" s="8" t="s">
        <v>0</v>
      </c>
      <c r="C494">
        <v>1</v>
      </c>
      <c r="D494" s="47" t="s">
        <v>57</v>
      </c>
      <c r="E494" s="45">
        <f>2587
-44</f>
        <v>2543</v>
      </c>
    </row>
    <row r="495" spans="1:5" x14ac:dyDescent="0.3">
      <c r="A495" t="s">
        <v>23</v>
      </c>
      <c r="B495" s="8" t="s">
        <v>1</v>
      </c>
      <c r="C495">
        <v>2</v>
      </c>
      <c r="D495" s="47" t="s">
        <v>57</v>
      </c>
      <c r="E495" s="50">
        <f>2658
-48</f>
        <v>2610</v>
      </c>
    </row>
    <row r="496" spans="1:5" x14ac:dyDescent="0.3">
      <c r="A496" t="s">
        <v>23</v>
      </c>
      <c r="B496" s="8" t="s">
        <v>2</v>
      </c>
      <c r="C496">
        <v>3</v>
      </c>
      <c r="D496" s="47" t="s">
        <v>57</v>
      </c>
      <c r="E496" s="45">
        <f>2889
-42</f>
        <v>2847</v>
      </c>
    </row>
    <row r="497" spans="1:5" x14ac:dyDescent="0.3">
      <c r="A497" t="s">
        <v>23</v>
      </c>
      <c r="B497" s="8" t="s">
        <v>3</v>
      </c>
      <c r="C497">
        <v>4</v>
      </c>
      <c r="D497" s="47" t="s">
        <v>57</v>
      </c>
      <c r="E497" s="55">
        <f>3667
-38</f>
        <v>3629</v>
      </c>
    </row>
    <row r="498" spans="1:5" x14ac:dyDescent="0.3">
      <c r="A498" t="s">
        <v>23</v>
      </c>
      <c r="B498" s="8" t="s">
        <v>4</v>
      </c>
      <c r="C498">
        <v>5</v>
      </c>
      <c r="D498" s="47" t="s">
        <v>57</v>
      </c>
      <c r="E498" s="53">
        <f>2873
-33</f>
        <v>2840</v>
      </c>
    </row>
    <row r="499" spans="1:5" x14ac:dyDescent="0.3">
      <c r="A499" t="s">
        <v>23</v>
      </c>
      <c r="B499" s="8" t="s">
        <v>5</v>
      </c>
      <c r="C499">
        <v>6</v>
      </c>
      <c r="D499" s="47" t="s">
        <v>57</v>
      </c>
      <c r="E499" s="46">
        <f>3677-43</f>
        <v>3634</v>
      </c>
    </row>
    <row r="500" spans="1:5" x14ac:dyDescent="0.3">
      <c r="A500" t="s">
        <v>23</v>
      </c>
      <c r="B500" s="8" t="s">
        <v>6</v>
      </c>
      <c r="C500">
        <v>7</v>
      </c>
      <c r="D500" s="47" t="s">
        <v>57</v>
      </c>
      <c r="E500" s="53">
        <f>2457
-52</f>
        <v>2405</v>
      </c>
    </row>
    <row r="501" spans="1:5" x14ac:dyDescent="0.3">
      <c r="A501" t="s">
        <v>23</v>
      </c>
      <c r="B501" s="8" t="s">
        <v>7</v>
      </c>
      <c r="C501">
        <v>8</v>
      </c>
      <c r="D501" s="47" t="s">
        <v>57</v>
      </c>
      <c r="E501" s="46">
        <f>3113-28</f>
        <v>3085</v>
      </c>
    </row>
    <row r="502" spans="1:5" x14ac:dyDescent="0.3">
      <c r="A502" t="s">
        <v>23</v>
      </c>
      <c r="B502" s="8" t="s">
        <v>8</v>
      </c>
      <c r="C502">
        <v>9</v>
      </c>
      <c r="D502" s="47" t="s">
        <v>57</v>
      </c>
      <c r="E502" s="54">
        <f>2844
-50</f>
        <v>2794</v>
      </c>
    </row>
    <row r="503" spans="1:5" x14ac:dyDescent="0.3">
      <c r="A503" t="s">
        <v>23</v>
      </c>
      <c r="B503" s="8" t="s">
        <v>19</v>
      </c>
      <c r="C503">
        <v>10</v>
      </c>
      <c r="D503" s="47" t="s">
        <v>57</v>
      </c>
      <c r="E503" s="55">
        <f>2409
-31</f>
        <v>2378</v>
      </c>
    </row>
    <row r="504" spans="1:5" x14ac:dyDescent="0.3">
      <c r="A504" t="s">
        <v>23</v>
      </c>
      <c r="B504" s="8" t="s">
        <v>21</v>
      </c>
      <c r="C504">
        <v>11</v>
      </c>
      <c r="D504" s="47" t="s">
        <v>57</v>
      </c>
      <c r="E504" s="45">
        <f>3004
-33</f>
        <v>2971</v>
      </c>
    </row>
    <row r="505" spans="1:5" x14ac:dyDescent="0.3">
      <c r="A505" t="s">
        <v>23</v>
      </c>
      <c r="B505" s="8" t="s">
        <v>20</v>
      </c>
      <c r="C505">
        <v>12</v>
      </c>
      <c r="D505" s="47" t="s">
        <v>57</v>
      </c>
      <c r="E505" s="55">
        <f>3345
-61</f>
        <v>3284</v>
      </c>
    </row>
    <row r="506" spans="1:5" x14ac:dyDescent="0.3">
      <c r="A506" s="13" t="s">
        <v>24</v>
      </c>
      <c r="B506" s="8" t="s">
        <v>0</v>
      </c>
      <c r="C506">
        <v>1</v>
      </c>
      <c r="D506" s="47" t="s">
        <v>57</v>
      </c>
      <c r="E506" s="45">
        <f>2872
-42</f>
        <v>2830</v>
      </c>
    </row>
    <row r="507" spans="1:5" x14ac:dyDescent="0.3">
      <c r="A507" t="s">
        <v>24</v>
      </c>
      <c r="B507" s="8" t="s">
        <v>1</v>
      </c>
      <c r="C507">
        <v>2</v>
      </c>
      <c r="D507" s="47" t="s">
        <v>57</v>
      </c>
      <c r="E507" s="55">
        <f>2689
-57</f>
        <v>2632</v>
      </c>
    </row>
    <row r="508" spans="1:5" x14ac:dyDescent="0.3">
      <c r="A508" t="s">
        <v>24</v>
      </c>
      <c r="B508" s="8" t="s">
        <v>2</v>
      </c>
      <c r="C508">
        <v>3</v>
      </c>
      <c r="D508" s="47" t="s">
        <v>57</v>
      </c>
      <c r="E508" s="43">
        <f>2808
-37</f>
        <v>2771</v>
      </c>
    </row>
    <row r="509" spans="1:5" x14ac:dyDescent="0.3">
      <c r="A509" t="s">
        <v>24</v>
      </c>
      <c r="B509" s="8" t="s">
        <v>3</v>
      </c>
      <c r="C509">
        <v>4</v>
      </c>
      <c r="D509" s="47" t="s">
        <v>57</v>
      </c>
      <c r="E509" s="55">
        <f>2987
-28</f>
        <v>2959</v>
      </c>
    </row>
    <row r="510" spans="1:5" x14ac:dyDescent="0.3">
      <c r="A510" t="s">
        <v>24</v>
      </c>
      <c r="B510" s="8" t="s">
        <v>4</v>
      </c>
      <c r="C510">
        <v>5</v>
      </c>
      <c r="D510" s="47" t="s">
        <v>57</v>
      </c>
      <c r="E510" s="53">
        <f>3714
-46</f>
        <v>3668</v>
      </c>
    </row>
    <row r="511" spans="1:5" x14ac:dyDescent="0.3">
      <c r="A511" t="s">
        <v>24</v>
      </c>
      <c r="B511" s="8" t="s">
        <v>5</v>
      </c>
      <c r="C511">
        <v>6</v>
      </c>
      <c r="D511" s="47" t="s">
        <v>57</v>
      </c>
      <c r="E511" s="44">
        <f>3121
-26</f>
        <v>3095</v>
      </c>
    </row>
    <row r="512" spans="1:5" x14ac:dyDescent="0.3">
      <c r="A512" t="s">
        <v>24</v>
      </c>
      <c r="B512" s="8" t="s">
        <v>6</v>
      </c>
      <c r="C512">
        <v>7</v>
      </c>
      <c r="D512" s="47" t="s">
        <v>57</v>
      </c>
      <c r="E512" s="53">
        <f>3092
-42</f>
        <v>3050</v>
      </c>
    </row>
    <row r="513" spans="1:5" x14ac:dyDescent="0.3">
      <c r="A513" t="s">
        <v>24</v>
      </c>
      <c r="B513" s="8" t="s">
        <v>7</v>
      </c>
      <c r="C513">
        <v>8</v>
      </c>
      <c r="D513" s="47" t="s">
        <v>57</v>
      </c>
      <c r="E513" s="44">
        <f>2200
-13</f>
        <v>2187</v>
      </c>
    </row>
    <row r="514" spans="1:5" x14ac:dyDescent="0.3">
      <c r="A514" t="s">
        <v>24</v>
      </c>
      <c r="B514" s="8" t="s">
        <v>8</v>
      </c>
      <c r="C514">
        <v>9</v>
      </c>
      <c r="D514" s="47" t="s">
        <v>57</v>
      </c>
      <c r="E514" s="53">
        <f>2698
-24</f>
        <v>2674</v>
      </c>
    </row>
    <row r="515" spans="1:5" x14ac:dyDescent="0.3">
      <c r="A515" t="s">
        <v>24</v>
      </c>
      <c r="B515" s="8" t="s">
        <v>19</v>
      </c>
      <c r="C515">
        <v>10</v>
      </c>
      <c r="D515" s="47" t="s">
        <v>57</v>
      </c>
      <c r="E515" s="50">
        <f>2685
-28</f>
        <v>2657</v>
      </c>
    </row>
    <row r="516" spans="1:5" x14ac:dyDescent="0.3">
      <c r="A516" t="s">
        <v>24</v>
      </c>
      <c r="B516" s="8" t="s">
        <v>21</v>
      </c>
      <c r="C516">
        <v>11</v>
      </c>
      <c r="D516" s="47" t="s">
        <v>57</v>
      </c>
      <c r="E516" s="43">
        <f>3123
-20</f>
        <v>3103</v>
      </c>
    </row>
    <row r="517" spans="1:5" x14ac:dyDescent="0.3">
      <c r="A517" t="s">
        <v>24</v>
      </c>
      <c r="B517" s="8" t="s">
        <v>20</v>
      </c>
      <c r="C517">
        <v>12</v>
      </c>
      <c r="D517" s="47" t="s">
        <v>57</v>
      </c>
      <c r="E517" s="50">
        <f>3164
-27</f>
        <v>3137</v>
      </c>
    </row>
    <row r="518" spans="1:5" x14ac:dyDescent="0.3">
      <c r="A518" s="13" t="s">
        <v>25</v>
      </c>
      <c r="B518" s="8" t="s">
        <v>0</v>
      </c>
      <c r="C518">
        <v>1</v>
      </c>
      <c r="D518" s="47" t="s">
        <v>57</v>
      </c>
      <c r="E518" s="45">
        <f>2867
-29</f>
        <v>2838</v>
      </c>
    </row>
    <row r="519" spans="1:5" x14ac:dyDescent="0.3">
      <c r="A519" t="s">
        <v>25</v>
      </c>
      <c r="B519" s="8" t="s">
        <v>1</v>
      </c>
      <c r="C519">
        <v>2</v>
      </c>
      <c r="D519" s="47" t="s">
        <v>57</v>
      </c>
      <c r="E519" s="55">
        <f>2958
-36</f>
        <v>2922</v>
      </c>
    </row>
    <row r="520" spans="1:5" x14ac:dyDescent="0.3">
      <c r="A520" t="s">
        <v>25</v>
      </c>
      <c r="B520" s="8" t="s">
        <v>2</v>
      </c>
      <c r="C520">
        <v>3</v>
      </c>
      <c r="D520" s="47" t="s">
        <v>57</v>
      </c>
      <c r="E520" s="43">
        <f>2956
-16</f>
        <v>2940</v>
      </c>
    </row>
    <row r="521" spans="1:5" x14ac:dyDescent="0.3">
      <c r="A521" t="s">
        <v>25</v>
      </c>
      <c r="B521" s="8" t="s">
        <v>3</v>
      </c>
      <c r="C521">
        <v>4</v>
      </c>
      <c r="D521" s="47" t="s">
        <v>57</v>
      </c>
      <c r="E521" s="55">
        <f>3509
-58</f>
        <v>3451</v>
      </c>
    </row>
    <row r="522" spans="1:5" x14ac:dyDescent="0.3">
      <c r="A522" t="s">
        <v>25</v>
      </c>
      <c r="B522" s="8" t="s">
        <v>4</v>
      </c>
      <c r="C522">
        <v>5</v>
      </c>
      <c r="D522" s="47" t="s">
        <v>57</v>
      </c>
      <c r="E522" s="53">
        <f>3461
-17</f>
        <v>3444</v>
      </c>
    </row>
    <row r="523" spans="1:5" x14ac:dyDescent="0.3">
      <c r="A523" t="s">
        <v>25</v>
      </c>
      <c r="B523" s="8" t="s">
        <v>5</v>
      </c>
      <c r="C523">
        <v>6</v>
      </c>
      <c r="D523" s="47" t="s">
        <v>57</v>
      </c>
      <c r="E523" s="44">
        <f>4105
-21</f>
        <v>4084</v>
      </c>
    </row>
    <row r="524" spans="1:5" x14ac:dyDescent="0.3">
      <c r="A524" t="s">
        <v>25</v>
      </c>
      <c r="B524" s="8" t="s">
        <v>6</v>
      </c>
      <c r="C524">
        <v>7</v>
      </c>
      <c r="D524" s="47" t="s">
        <v>57</v>
      </c>
      <c r="E524" s="53">
        <f>3246
-37</f>
        <v>3209</v>
      </c>
    </row>
    <row r="525" spans="1:5" x14ac:dyDescent="0.3">
      <c r="A525" t="s">
        <v>25</v>
      </c>
      <c r="B525" s="8" t="s">
        <v>7</v>
      </c>
      <c r="C525">
        <v>8</v>
      </c>
      <c r="D525" s="47" t="s">
        <v>57</v>
      </c>
      <c r="E525" s="46">
        <f>2679
-15</f>
        <v>2664</v>
      </c>
    </row>
    <row r="526" spans="1:5" x14ac:dyDescent="0.3">
      <c r="A526" t="s">
        <v>25</v>
      </c>
      <c r="B526" s="8" t="s">
        <v>8</v>
      </c>
      <c r="C526">
        <v>9</v>
      </c>
      <c r="D526" s="47" t="s">
        <v>57</v>
      </c>
      <c r="E526" s="54">
        <f>2588
-34</f>
        <v>2554</v>
      </c>
    </row>
    <row r="527" spans="1:5" x14ac:dyDescent="0.3">
      <c r="A527" t="s">
        <v>25</v>
      </c>
      <c r="B527" s="8" t="s">
        <v>19</v>
      </c>
      <c r="C527">
        <v>10</v>
      </c>
      <c r="D527" s="47" t="s">
        <v>57</v>
      </c>
      <c r="E527" s="50">
        <f>2643
-22</f>
        <v>2621</v>
      </c>
    </row>
    <row r="528" spans="1:5" x14ac:dyDescent="0.3">
      <c r="A528" t="s">
        <v>25</v>
      </c>
      <c r="B528" s="8" t="s">
        <v>21</v>
      </c>
      <c r="C528">
        <v>11</v>
      </c>
      <c r="D528" s="47" t="s">
        <v>57</v>
      </c>
      <c r="E528" s="43">
        <f>2814
-35</f>
        <v>2779</v>
      </c>
    </row>
    <row r="529" spans="1:5" x14ac:dyDescent="0.3">
      <c r="A529" t="s">
        <v>25</v>
      </c>
      <c r="B529" s="8" t="s">
        <v>20</v>
      </c>
      <c r="C529">
        <v>12</v>
      </c>
      <c r="D529" s="47" t="s">
        <v>57</v>
      </c>
      <c r="E529" s="50">
        <f>3146
-31</f>
        <v>3115</v>
      </c>
    </row>
    <row r="530" spans="1:5" x14ac:dyDescent="0.3">
      <c r="A530" s="13" t="s">
        <v>26</v>
      </c>
      <c r="B530" s="8" t="s">
        <v>0</v>
      </c>
      <c r="C530">
        <v>1</v>
      </c>
      <c r="D530" s="47" t="s">
        <v>57</v>
      </c>
      <c r="E530" s="45">
        <f>3113
-24</f>
        <v>3089</v>
      </c>
    </row>
    <row r="531" spans="1:5" x14ac:dyDescent="0.3">
      <c r="A531" t="s">
        <v>26</v>
      </c>
      <c r="B531" s="8" t="s">
        <v>1</v>
      </c>
      <c r="C531">
        <v>2</v>
      </c>
      <c r="D531" s="47" t="s">
        <v>57</v>
      </c>
      <c r="E531" s="55">
        <f>2756
-22</f>
        <v>2734</v>
      </c>
    </row>
    <row r="532" spans="1:5" x14ac:dyDescent="0.3">
      <c r="A532" t="s">
        <v>26</v>
      </c>
      <c r="B532" s="8" t="s">
        <v>2</v>
      </c>
      <c r="C532">
        <v>3</v>
      </c>
      <c r="D532" s="47" t="s">
        <v>57</v>
      </c>
      <c r="E532" s="43">
        <f>2694
-17</f>
        <v>2677</v>
      </c>
    </row>
    <row r="533" spans="1:5" x14ac:dyDescent="0.3">
      <c r="A533" t="s">
        <v>26</v>
      </c>
      <c r="B533" s="8" t="s">
        <v>3</v>
      </c>
      <c r="C533">
        <v>4</v>
      </c>
      <c r="D533" s="47" t="s">
        <v>57</v>
      </c>
      <c r="E533" s="55">
        <f>3802
-38</f>
        <v>3764</v>
      </c>
    </row>
    <row r="534" spans="1:5" x14ac:dyDescent="0.3">
      <c r="A534" t="s">
        <v>26</v>
      </c>
      <c r="B534" s="8" t="s">
        <v>4</v>
      </c>
      <c r="C534">
        <v>5</v>
      </c>
      <c r="D534" s="47" t="s">
        <v>57</v>
      </c>
      <c r="E534" s="53">
        <f>2922
-20</f>
        <v>2902</v>
      </c>
    </row>
    <row r="535" spans="1:5" x14ac:dyDescent="0.3">
      <c r="A535" t="s">
        <v>26</v>
      </c>
      <c r="B535" s="8" t="s">
        <v>5</v>
      </c>
      <c r="C535">
        <v>6</v>
      </c>
      <c r="D535" s="47" t="s">
        <v>57</v>
      </c>
      <c r="E535" s="44">
        <f>3317
-37</f>
        <v>3280</v>
      </c>
    </row>
    <row r="536" spans="1:5" x14ac:dyDescent="0.3">
      <c r="A536" t="s">
        <v>26</v>
      </c>
      <c r="B536" s="8" t="s">
        <v>6</v>
      </c>
      <c r="C536">
        <v>7</v>
      </c>
      <c r="D536" s="47" t="s">
        <v>57</v>
      </c>
      <c r="E536" s="53">
        <f>2254
-36</f>
        <v>2218</v>
      </c>
    </row>
    <row r="537" spans="1:5" x14ac:dyDescent="0.3">
      <c r="A537" t="s">
        <v>26</v>
      </c>
      <c r="B537" s="8" t="s">
        <v>7</v>
      </c>
      <c r="C537">
        <v>8</v>
      </c>
      <c r="D537" s="47" t="s">
        <v>57</v>
      </c>
      <c r="E537" s="46">
        <f>2614
-24</f>
        <v>2590</v>
      </c>
    </row>
    <row r="538" spans="1:5" x14ac:dyDescent="0.3">
      <c r="A538" t="s">
        <v>26</v>
      </c>
      <c r="B538" s="8" t="s">
        <v>8</v>
      </c>
      <c r="C538">
        <v>9</v>
      </c>
      <c r="D538" s="47" t="s">
        <v>57</v>
      </c>
      <c r="E538" s="54">
        <f>2887
-19</f>
        <v>2868</v>
      </c>
    </row>
    <row r="539" spans="1:5" x14ac:dyDescent="0.3">
      <c r="A539" t="s">
        <v>26</v>
      </c>
      <c r="B539" s="8" t="s">
        <v>19</v>
      </c>
      <c r="C539">
        <v>10</v>
      </c>
      <c r="D539" s="47" t="s">
        <v>57</v>
      </c>
      <c r="E539" s="55">
        <f>2392
-19</f>
        <v>2373</v>
      </c>
    </row>
    <row r="540" spans="1:5" x14ac:dyDescent="0.3">
      <c r="A540" t="s">
        <v>26</v>
      </c>
      <c r="B540" s="8" t="s">
        <v>21</v>
      </c>
      <c r="C540">
        <v>11</v>
      </c>
      <c r="D540" s="47" t="s">
        <v>57</v>
      </c>
      <c r="E540" s="45">
        <f>2830
-34</f>
        <v>2796</v>
      </c>
    </row>
    <row r="541" spans="1:5" x14ac:dyDescent="0.3">
      <c r="A541" t="s">
        <v>26</v>
      </c>
      <c r="B541" s="8" t="s">
        <v>20</v>
      </c>
      <c r="C541">
        <v>12</v>
      </c>
      <c r="D541" s="47" t="s">
        <v>57</v>
      </c>
      <c r="E541" s="55">
        <f>2981
-24</f>
        <v>2957</v>
      </c>
    </row>
  </sheetData>
  <phoneticPr fontId="18" type="noConversion"/>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44A82-D10C-48E5-A99F-97A92745167C}">
  <dimension ref="A2:J47"/>
  <sheetViews>
    <sheetView workbookViewId="0">
      <selection activeCell="B5" sqref="B5"/>
    </sheetView>
  </sheetViews>
  <sheetFormatPr defaultRowHeight="14.4" x14ac:dyDescent="0.3"/>
  <cols>
    <col min="1" max="2" width="12.5546875" bestFit="1" customWidth="1"/>
    <col min="9" max="9" width="13.77734375" bestFit="1" customWidth="1"/>
    <col min="10" max="10" width="12.5546875" bestFit="1" customWidth="1"/>
  </cols>
  <sheetData>
    <row r="2" spans="1:10" x14ac:dyDescent="0.3">
      <c r="A2" s="10" t="s">
        <v>28</v>
      </c>
      <c r="B2" t="s">
        <v>42</v>
      </c>
      <c r="I2" s="10" t="s">
        <v>28</v>
      </c>
      <c r="J2" t="s">
        <v>42</v>
      </c>
    </row>
    <row r="3" spans="1:10" x14ac:dyDescent="0.3">
      <c r="A3" s="11" t="s">
        <v>22</v>
      </c>
      <c r="B3">
        <v>61589</v>
      </c>
      <c r="I3" s="11">
        <v>1</v>
      </c>
      <c r="J3">
        <v>25750</v>
      </c>
    </row>
    <row r="4" spans="1:10" x14ac:dyDescent="0.3">
      <c r="A4" s="11" t="s">
        <v>23</v>
      </c>
      <c r="B4">
        <v>65550</v>
      </c>
      <c r="I4" s="12" t="s">
        <v>0</v>
      </c>
      <c r="J4">
        <v>25750</v>
      </c>
    </row>
    <row r="5" spans="1:10" x14ac:dyDescent="0.3">
      <c r="A5" s="11" t="s">
        <v>24</v>
      </c>
      <c r="B5">
        <v>66359</v>
      </c>
      <c r="I5" s="11">
        <v>2</v>
      </c>
      <c r="J5">
        <v>25083</v>
      </c>
    </row>
    <row r="6" spans="1:10" x14ac:dyDescent="0.3">
      <c r="A6" s="11" t="s">
        <v>25</v>
      </c>
      <c r="B6">
        <v>66973</v>
      </c>
      <c r="I6" s="12" t="s">
        <v>1</v>
      </c>
      <c r="J6">
        <v>25083</v>
      </c>
    </row>
    <row r="7" spans="1:10" x14ac:dyDescent="0.3">
      <c r="A7" s="11" t="s">
        <v>26</v>
      </c>
      <c r="B7">
        <v>62776</v>
      </c>
      <c r="I7" s="11">
        <v>3</v>
      </c>
      <c r="J7">
        <v>26978</v>
      </c>
    </row>
    <row r="8" spans="1:10" x14ac:dyDescent="0.3">
      <c r="A8" s="11" t="s">
        <v>29</v>
      </c>
      <c r="B8">
        <v>323247</v>
      </c>
      <c r="I8" s="12" t="s">
        <v>2</v>
      </c>
      <c r="J8">
        <v>26978</v>
      </c>
    </row>
    <row r="9" spans="1:10" x14ac:dyDescent="0.3">
      <c r="I9" s="11">
        <v>4</v>
      </c>
      <c r="J9">
        <v>30955</v>
      </c>
    </row>
    <row r="10" spans="1:10" x14ac:dyDescent="0.3">
      <c r="I10" s="12" t="s">
        <v>3</v>
      </c>
      <c r="J10">
        <v>30955</v>
      </c>
    </row>
    <row r="11" spans="1:10" x14ac:dyDescent="0.3">
      <c r="I11" s="11">
        <v>5</v>
      </c>
      <c r="J11">
        <v>28349</v>
      </c>
    </row>
    <row r="12" spans="1:10" x14ac:dyDescent="0.3">
      <c r="I12" s="12" t="s">
        <v>4</v>
      </c>
      <c r="J12">
        <v>28349</v>
      </c>
    </row>
    <row r="13" spans="1:10" x14ac:dyDescent="0.3">
      <c r="I13" s="11">
        <v>6</v>
      </c>
      <c r="J13">
        <v>30787</v>
      </c>
    </row>
    <row r="14" spans="1:10" x14ac:dyDescent="0.3">
      <c r="I14" s="12" t="s">
        <v>5</v>
      </c>
      <c r="J14">
        <v>30787</v>
      </c>
    </row>
    <row r="15" spans="1:10" x14ac:dyDescent="0.3">
      <c r="I15" s="11">
        <v>7</v>
      </c>
      <c r="J15">
        <v>24811</v>
      </c>
    </row>
    <row r="16" spans="1:10" x14ac:dyDescent="0.3">
      <c r="I16" s="12" t="s">
        <v>6</v>
      </c>
      <c r="J16">
        <v>24811</v>
      </c>
    </row>
    <row r="17" spans="9:10" x14ac:dyDescent="0.3">
      <c r="I17" s="11">
        <v>8</v>
      </c>
      <c r="J17">
        <v>24127</v>
      </c>
    </row>
    <row r="18" spans="9:10" x14ac:dyDescent="0.3">
      <c r="I18" s="12" t="s">
        <v>7</v>
      </c>
      <c r="J18">
        <v>24127</v>
      </c>
    </row>
    <row r="19" spans="9:10" x14ac:dyDescent="0.3">
      <c r="I19" s="11">
        <v>9</v>
      </c>
      <c r="J19">
        <v>25930</v>
      </c>
    </row>
    <row r="20" spans="9:10" x14ac:dyDescent="0.3">
      <c r="I20" s="12" t="s">
        <v>8</v>
      </c>
      <c r="J20">
        <v>25930</v>
      </c>
    </row>
    <row r="21" spans="9:10" x14ac:dyDescent="0.3">
      <c r="I21" s="11">
        <v>10</v>
      </c>
      <c r="J21">
        <v>23623</v>
      </c>
    </row>
    <row r="22" spans="9:10" x14ac:dyDescent="0.3">
      <c r="I22" s="12" t="s">
        <v>19</v>
      </c>
      <c r="J22">
        <v>23623</v>
      </c>
    </row>
    <row r="23" spans="9:10" x14ac:dyDescent="0.3">
      <c r="I23" s="11">
        <v>11</v>
      </c>
      <c r="J23">
        <v>26824</v>
      </c>
    </row>
    <row r="24" spans="9:10" x14ac:dyDescent="0.3">
      <c r="I24" s="12" t="s">
        <v>21</v>
      </c>
      <c r="J24">
        <v>26824</v>
      </c>
    </row>
    <row r="25" spans="9:10" x14ac:dyDescent="0.3">
      <c r="I25" s="11">
        <v>12</v>
      </c>
      <c r="J25">
        <v>30030</v>
      </c>
    </row>
    <row r="26" spans="9:10" x14ac:dyDescent="0.3">
      <c r="I26" s="12" t="s">
        <v>20</v>
      </c>
      <c r="J26">
        <v>30030</v>
      </c>
    </row>
    <row r="27" spans="9:10" x14ac:dyDescent="0.3">
      <c r="I27" s="11" t="s">
        <v>29</v>
      </c>
      <c r="J27">
        <v>323247</v>
      </c>
    </row>
    <row r="37" spans="1:2" x14ac:dyDescent="0.3">
      <c r="A37" s="10" t="s">
        <v>28</v>
      </c>
      <c r="B37" t="s">
        <v>42</v>
      </c>
    </row>
    <row r="38" spans="1:2" x14ac:dyDescent="0.3">
      <c r="A38" s="11" t="s">
        <v>57</v>
      </c>
      <c r="B38">
        <v>173684</v>
      </c>
    </row>
    <row r="39" spans="1:2" x14ac:dyDescent="0.3">
      <c r="A39" s="11" t="s">
        <v>10</v>
      </c>
      <c r="B39">
        <v>53390</v>
      </c>
    </row>
    <row r="40" spans="1:2" x14ac:dyDescent="0.3">
      <c r="A40" s="11" t="s">
        <v>14</v>
      </c>
      <c r="B40">
        <v>37851</v>
      </c>
    </row>
    <row r="41" spans="1:2" x14ac:dyDescent="0.3">
      <c r="A41" s="11" t="s">
        <v>13</v>
      </c>
      <c r="B41">
        <v>25327</v>
      </c>
    </row>
    <row r="42" spans="1:2" x14ac:dyDescent="0.3">
      <c r="A42" s="11" t="s">
        <v>9</v>
      </c>
      <c r="B42">
        <v>20160</v>
      </c>
    </row>
    <row r="43" spans="1:2" x14ac:dyDescent="0.3">
      <c r="A43" s="11" t="s">
        <v>16</v>
      </c>
      <c r="B43">
        <v>7406</v>
      </c>
    </row>
    <row r="44" spans="1:2" x14ac:dyDescent="0.3">
      <c r="A44" s="11" t="s">
        <v>17</v>
      </c>
      <c r="B44">
        <v>2983</v>
      </c>
    </row>
    <row r="45" spans="1:2" x14ac:dyDescent="0.3">
      <c r="A45" s="11" t="s">
        <v>18</v>
      </c>
      <c r="B45">
        <v>1538</v>
      </c>
    </row>
    <row r="46" spans="1:2" x14ac:dyDescent="0.3">
      <c r="A46" s="11" t="s">
        <v>12</v>
      </c>
      <c r="B46">
        <v>908</v>
      </c>
    </row>
    <row r="47" spans="1:2" x14ac:dyDescent="0.3">
      <c r="A47" s="11" t="s">
        <v>29</v>
      </c>
      <c r="B47">
        <v>323247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abSelected="1" zoomScale="70" zoomScaleNormal="70" workbookViewId="0">
      <selection activeCell="AF17" sqref="AF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3324-EE76-41CB-8604-3DFC90B5DC01}">
  <dimension ref="A2:H43"/>
  <sheetViews>
    <sheetView topLeftCell="A19" workbookViewId="0">
      <selection activeCell="C41" sqref="C41"/>
    </sheetView>
  </sheetViews>
  <sheetFormatPr defaultRowHeight="14.4" x14ac:dyDescent="0.3"/>
  <cols>
    <col min="1" max="1" width="12.5546875" bestFit="1" customWidth="1"/>
    <col min="2" max="2" width="9.44140625" bestFit="1" customWidth="1"/>
    <col min="3" max="3" width="13.33203125" bestFit="1" customWidth="1"/>
    <col min="6" max="6" width="13.77734375" bestFit="1" customWidth="1"/>
    <col min="7" max="7" width="9.44140625" bestFit="1" customWidth="1"/>
    <col min="8" max="8" width="13.33203125" bestFit="1" customWidth="1"/>
  </cols>
  <sheetData>
    <row r="2" spans="1:8" x14ac:dyDescent="0.3">
      <c r="A2" s="10" t="s">
        <v>28</v>
      </c>
      <c r="B2" t="s">
        <v>37</v>
      </c>
      <c r="C2" t="s">
        <v>43</v>
      </c>
      <c r="F2" s="10" t="s">
        <v>28</v>
      </c>
      <c r="G2" t="s">
        <v>37</v>
      </c>
      <c r="H2" t="s">
        <v>43</v>
      </c>
    </row>
    <row r="3" spans="1:8" x14ac:dyDescent="0.3">
      <c r="A3" s="11" t="s">
        <v>22</v>
      </c>
      <c r="B3">
        <v>166</v>
      </c>
      <c r="C3">
        <v>10735</v>
      </c>
      <c r="F3" s="11">
        <v>1</v>
      </c>
      <c r="G3">
        <v>78</v>
      </c>
      <c r="H3">
        <v>4466</v>
      </c>
    </row>
    <row r="4" spans="1:8" x14ac:dyDescent="0.3">
      <c r="A4" s="11" t="s">
        <v>23</v>
      </c>
      <c r="B4">
        <v>227</v>
      </c>
      <c r="C4">
        <v>10574</v>
      </c>
      <c r="F4" s="12" t="s">
        <v>0</v>
      </c>
      <c r="G4">
        <v>78</v>
      </c>
      <c r="H4">
        <v>4466</v>
      </c>
    </row>
    <row r="5" spans="1:8" x14ac:dyDescent="0.3">
      <c r="A5" s="11" t="s">
        <v>24</v>
      </c>
      <c r="B5">
        <v>219</v>
      </c>
      <c r="C5">
        <v>10727</v>
      </c>
      <c r="F5" s="11">
        <v>2</v>
      </c>
      <c r="G5">
        <v>96</v>
      </c>
      <c r="H5">
        <v>4345</v>
      </c>
    </row>
    <row r="6" spans="1:8" x14ac:dyDescent="0.3">
      <c r="A6" s="11" t="s">
        <v>25</v>
      </c>
      <c r="B6">
        <v>168</v>
      </c>
      <c r="C6">
        <v>10354</v>
      </c>
      <c r="F6" s="12" t="s">
        <v>1</v>
      </c>
      <c r="G6">
        <v>96</v>
      </c>
      <c r="H6">
        <v>4345</v>
      </c>
    </row>
    <row r="7" spans="1:8" x14ac:dyDescent="0.3">
      <c r="A7" s="11" t="s">
        <v>26</v>
      </c>
      <c r="B7">
        <v>203</v>
      </c>
      <c r="C7">
        <v>10017</v>
      </c>
      <c r="F7" s="11">
        <v>3</v>
      </c>
      <c r="G7">
        <v>84</v>
      </c>
      <c r="H7">
        <v>4899</v>
      </c>
    </row>
    <row r="8" spans="1:8" x14ac:dyDescent="0.3">
      <c r="A8" s="11" t="s">
        <v>29</v>
      </c>
      <c r="B8">
        <v>983</v>
      </c>
      <c r="C8">
        <v>52407</v>
      </c>
      <c r="F8" s="12" t="s">
        <v>2</v>
      </c>
      <c r="G8">
        <v>84</v>
      </c>
      <c r="H8">
        <v>4899</v>
      </c>
    </row>
    <row r="9" spans="1:8" x14ac:dyDescent="0.3">
      <c r="F9" s="11">
        <v>4</v>
      </c>
      <c r="G9">
        <v>85</v>
      </c>
      <c r="H9">
        <v>5123</v>
      </c>
    </row>
    <row r="10" spans="1:8" x14ac:dyDescent="0.3">
      <c r="F10" s="12" t="s">
        <v>3</v>
      </c>
      <c r="G10">
        <v>85</v>
      </c>
      <c r="H10">
        <v>5123</v>
      </c>
    </row>
    <row r="11" spans="1:8" x14ac:dyDescent="0.3">
      <c r="F11" s="11">
        <v>5</v>
      </c>
      <c r="G11">
        <v>87</v>
      </c>
      <c r="H11">
        <v>4646</v>
      </c>
    </row>
    <row r="12" spans="1:8" x14ac:dyDescent="0.3">
      <c r="F12" s="12" t="s">
        <v>4</v>
      </c>
      <c r="G12">
        <v>87</v>
      </c>
      <c r="H12">
        <v>4646</v>
      </c>
    </row>
    <row r="13" spans="1:8" x14ac:dyDescent="0.3">
      <c r="F13" s="11">
        <v>6</v>
      </c>
      <c r="G13">
        <v>96</v>
      </c>
      <c r="H13">
        <v>4761</v>
      </c>
    </row>
    <row r="14" spans="1:8" x14ac:dyDescent="0.3">
      <c r="F14" s="12" t="s">
        <v>5</v>
      </c>
      <c r="G14">
        <v>96</v>
      </c>
      <c r="H14">
        <v>4761</v>
      </c>
    </row>
    <row r="15" spans="1:8" x14ac:dyDescent="0.3">
      <c r="F15" s="11">
        <v>7</v>
      </c>
      <c r="G15">
        <v>77</v>
      </c>
      <c r="H15">
        <v>3706</v>
      </c>
    </row>
    <row r="16" spans="1:8" x14ac:dyDescent="0.3">
      <c r="F16" s="12" t="s">
        <v>6</v>
      </c>
      <c r="G16">
        <v>77</v>
      </c>
      <c r="H16">
        <v>3706</v>
      </c>
    </row>
    <row r="17" spans="2:8" x14ac:dyDescent="0.3">
      <c r="F17" s="11">
        <v>8</v>
      </c>
      <c r="G17">
        <v>86</v>
      </c>
      <c r="H17">
        <v>3814</v>
      </c>
    </row>
    <row r="18" spans="2:8" x14ac:dyDescent="0.3">
      <c r="F18" s="12" t="s">
        <v>7</v>
      </c>
      <c r="G18">
        <v>86</v>
      </c>
      <c r="H18">
        <v>3814</v>
      </c>
    </row>
    <row r="19" spans="2:8" x14ac:dyDescent="0.3">
      <c r="F19" s="11">
        <v>9</v>
      </c>
      <c r="G19">
        <v>89</v>
      </c>
      <c r="H19">
        <v>4337</v>
      </c>
    </row>
    <row r="20" spans="2:8" x14ac:dyDescent="0.3">
      <c r="F20" s="12" t="s">
        <v>8</v>
      </c>
      <c r="G20">
        <v>89</v>
      </c>
      <c r="H20">
        <v>4337</v>
      </c>
    </row>
    <row r="21" spans="2:8" x14ac:dyDescent="0.3">
      <c r="F21" s="11">
        <v>10</v>
      </c>
      <c r="G21">
        <v>63</v>
      </c>
      <c r="H21">
        <v>3880</v>
      </c>
    </row>
    <row r="22" spans="2:8" x14ac:dyDescent="0.3">
      <c r="F22" s="12" t="s">
        <v>19</v>
      </c>
      <c r="G22">
        <v>63</v>
      </c>
      <c r="H22">
        <v>3880</v>
      </c>
    </row>
    <row r="23" spans="2:8" x14ac:dyDescent="0.3">
      <c r="F23" s="11">
        <v>11</v>
      </c>
      <c r="G23">
        <v>64</v>
      </c>
      <c r="H23">
        <v>4053</v>
      </c>
    </row>
    <row r="24" spans="2:8" x14ac:dyDescent="0.3">
      <c r="F24" s="12" t="s">
        <v>21</v>
      </c>
      <c r="G24">
        <v>64</v>
      </c>
      <c r="H24">
        <v>4053</v>
      </c>
    </row>
    <row r="25" spans="2:8" x14ac:dyDescent="0.3">
      <c r="F25" s="11">
        <v>12</v>
      </c>
      <c r="G25">
        <v>78</v>
      </c>
      <c r="H25">
        <v>4377</v>
      </c>
    </row>
    <row r="26" spans="2:8" x14ac:dyDescent="0.3">
      <c r="F26" s="12" t="s">
        <v>20</v>
      </c>
      <c r="G26">
        <v>78</v>
      </c>
      <c r="H26">
        <v>4377</v>
      </c>
    </row>
    <row r="27" spans="2:8" x14ac:dyDescent="0.3">
      <c r="F27" s="11" t="s">
        <v>29</v>
      </c>
      <c r="G27">
        <v>983</v>
      </c>
      <c r="H27">
        <v>52407</v>
      </c>
    </row>
    <row r="28" spans="2:8" x14ac:dyDescent="0.3">
      <c r="B28" t="s">
        <v>44</v>
      </c>
      <c r="C28" t="s">
        <v>45</v>
      </c>
      <c r="D28" t="s">
        <v>46</v>
      </c>
    </row>
    <row r="29" spans="2:8" x14ac:dyDescent="0.3">
      <c r="B29" s="11" t="s">
        <v>22</v>
      </c>
      <c r="C29" t="s">
        <v>35</v>
      </c>
      <c r="D29">
        <v>166</v>
      </c>
    </row>
    <row r="30" spans="2:8" x14ac:dyDescent="0.3">
      <c r="B30" s="11" t="s">
        <v>22</v>
      </c>
      <c r="C30" t="s">
        <v>36</v>
      </c>
      <c r="D30">
        <v>10735</v>
      </c>
    </row>
    <row r="31" spans="2:8" x14ac:dyDescent="0.3">
      <c r="B31" s="11" t="s">
        <v>23</v>
      </c>
      <c r="C31" t="s">
        <v>35</v>
      </c>
      <c r="D31">
        <v>227</v>
      </c>
    </row>
    <row r="32" spans="2:8" x14ac:dyDescent="0.3">
      <c r="B32" s="11" t="s">
        <v>23</v>
      </c>
      <c r="C32" t="s">
        <v>36</v>
      </c>
      <c r="D32">
        <v>10574</v>
      </c>
    </row>
    <row r="33" spans="2:4" x14ac:dyDescent="0.3">
      <c r="B33" s="11" t="s">
        <v>24</v>
      </c>
      <c r="C33" t="s">
        <v>35</v>
      </c>
      <c r="D33">
        <v>219</v>
      </c>
    </row>
    <row r="34" spans="2:4" x14ac:dyDescent="0.3">
      <c r="B34" s="11" t="s">
        <v>24</v>
      </c>
      <c r="C34" t="s">
        <v>36</v>
      </c>
      <c r="D34">
        <v>10727</v>
      </c>
    </row>
    <row r="35" spans="2:4" x14ac:dyDescent="0.3">
      <c r="B35" s="11" t="s">
        <v>25</v>
      </c>
      <c r="C35" t="s">
        <v>35</v>
      </c>
      <c r="D35">
        <v>168</v>
      </c>
    </row>
    <row r="36" spans="2:4" x14ac:dyDescent="0.3">
      <c r="B36" s="11" t="s">
        <v>25</v>
      </c>
      <c r="C36" t="s">
        <v>36</v>
      </c>
      <c r="D36">
        <v>10354</v>
      </c>
    </row>
    <row r="37" spans="2:4" x14ac:dyDescent="0.3">
      <c r="B37" s="11" t="s">
        <v>26</v>
      </c>
      <c r="C37" t="s">
        <v>35</v>
      </c>
      <c r="D37">
        <v>203</v>
      </c>
    </row>
    <row r="38" spans="2:4" x14ac:dyDescent="0.3">
      <c r="B38" s="11" t="s">
        <v>26</v>
      </c>
      <c r="C38" t="s">
        <v>36</v>
      </c>
      <c r="D38">
        <v>10017</v>
      </c>
    </row>
    <row r="40" spans="2:4" x14ac:dyDescent="0.3">
      <c r="B40" s="10" t="s">
        <v>28</v>
      </c>
      <c r="C40" t="s">
        <v>47</v>
      </c>
    </row>
    <row r="41" spans="2:4" x14ac:dyDescent="0.3">
      <c r="B41" s="11" t="s">
        <v>35</v>
      </c>
      <c r="C41">
        <v>983</v>
      </c>
    </row>
    <row r="42" spans="2:4" x14ac:dyDescent="0.3">
      <c r="B42" s="11" t="s">
        <v>36</v>
      </c>
      <c r="C42">
        <v>52407</v>
      </c>
    </row>
    <row r="43" spans="2:4" x14ac:dyDescent="0.3">
      <c r="B43" s="11" t="s">
        <v>29</v>
      </c>
      <c r="C43">
        <v>53390</v>
      </c>
    </row>
  </sheetData>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38B02-E7D6-489E-A89D-F83C3B7D870B}">
  <dimension ref="A1:G61"/>
  <sheetViews>
    <sheetView workbookViewId="0">
      <selection activeCell="G61" sqref="G1:G61"/>
    </sheetView>
  </sheetViews>
  <sheetFormatPr defaultRowHeight="14.4" x14ac:dyDescent="0.3"/>
  <cols>
    <col min="3" max="3" width="13.21875" customWidth="1"/>
    <col min="4" max="4" width="9.33203125" customWidth="1"/>
    <col min="7" max="7" width="9.77734375" customWidth="1"/>
  </cols>
  <sheetData>
    <row r="1" spans="1:7" ht="15" thickBot="1" x14ac:dyDescent="0.35">
      <c r="A1" s="14" t="s">
        <v>32</v>
      </c>
      <c r="B1" s="15" t="s">
        <v>27</v>
      </c>
      <c r="C1" s="14" t="s">
        <v>30</v>
      </c>
      <c r="D1" s="15" t="s">
        <v>33</v>
      </c>
      <c r="E1" s="15" t="s">
        <v>34</v>
      </c>
      <c r="F1" s="14" t="s">
        <v>35</v>
      </c>
      <c r="G1" s="16" t="s">
        <v>36</v>
      </c>
    </row>
    <row r="2" spans="1:7" ht="15" thickTop="1" x14ac:dyDescent="0.3">
      <c r="A2" s="29" t="s">
        <v>22</v>
      </c>
      <c r="B2" s="30" t="s">
        <v>0</v>
      </c>
      <c r="C2" s="31">
        <v>1</v>
      </c>
      <c r="D2" s="20" t="s">
        <v>10</v>
      </c>
      <c r="E2" s="1">
        <f>814-23</f>
        <v>791</v>
      </c>
      <c r="F2" s="18">
        <v>8</v>
      </c>
      <c r="G2" s="18">
        <f>E2-F2</f>
        <v>783</v>
      </c>
    </row>
    <row r="3" spans="1:7" x14ac:dyDescent="0.3">
      <c r="A3" s="22" t="s">
        <v>22</v>
      </c>
      <c r="B3" s="25" t="s">
        <v>1</v>
      </c>
      <c r="C3" s="22">
        <v>2</v>
      </c>
      <c r="D3" s="18" t="s">
        <v>10</v>
      </c>
      <c r="E3" s="48">
        <f>766-19</f>
        <v>747</v>
      </c>
      <c r="F3" s="23">
        <v>16</v>
      </c>
      <c r="G3" s="18">
        <f>E3-F3</f>
        <v>731</v>
      </c>
    </row>
    <row r="4" spans="1:7" x14ac:dyDescent="0.3">
      <c r="A4" s="19" t="s">
        <v>22</v>
      </c>
      <c r="B4" s="26" t="s">
        <v>2</v>
      </c>
      <c r="C4" s="19">
        <v>3</v>
      </c>
      <c r="D4" s="18" t="s">
        <v>10</v>
      </c>
      <c r="E4" s="1">
        <f>1070-43</f>
        <v>1027</v>
      </c>
      <c r="F4" s="18">
        <v>21</v>
      </c>
      <c r="G4" s="18">
        <f t="shared" ref="G4:G60" si="0">E4-F4</f>
        <v>1006</v>
      </c>
    </row>
    <row r="5" spans="1:7" x14ac:dyDescent="0.3">
      <c r="A5" s="22" t="s">
        <v>22</v>
      </c>
      <c r="B5" s="25" t="s">
        <v>3</v>
      </c>
      <c r="C5" s="22">
        <v>4</v>
      </c>
      <c r="D5" s="18" t="s">
        <v>10</v>
      </c>
      <c r="E5" s="48">
        <f>1114-37</f>
        <v>1077</v>
      </c>
      <c r="F5" s="23">
        <v>16</v>
      </c>
      <c r="G5" s="18">
        <f t="shared" si="0"/>
        <v>1061</v>
      </c>
    </row>
    <row r="6" spans="1:7" x14ac:dyDescent="0.3">
      <c r="A6" s="19" t="s">
        <v>22</v>
      </c>
      <c r="B6" s="26" t="s">
        <v>4</v>
      </c>
      <c r="C6" s="19">
        <v>5</v>
      </c>
      <c r="D6" s="18" t="s">
        <v>10</v>
      </c>
      <c r="E6" s="7">
        <f>1016-34</f>
        <v>982</v>
      </c>
      <c r="F6" s="18">
        <v>16</v>
      </c>
      <c r="G6" s="18">
        <f t="shared" si="0"/>
        <v>966</v>
      </c>
    </row>
    <row r="7" spans="1:7" x14ac:dyDescent="0.3">
      <c r="A7" s="22" t="s">
        <v>22</v>
      </c>
      <c r="B7" s="25" t="s">
        <v>5</v>
      </c>
      <c r="C7" s="22">
        <v>6</v>
      </c>
      <c r="D7" s="18" t="s">
        <v>10</v>
      </c>
      <c r="E7" s="1">
        <f>1010-19</f>
        <v>991</v>
      </c>
      <c r="F7" s="23">
        <v>16</v>
      </c>
      <c r="G7" s="18">
        <f t="shared" si="0"/>
        <v>975</v>
      </c>
    </row>
    <row r="8" spans="1:7" x14ac:dyDescent="0.3">
      <c r="A8" s="19" t="s">
        <v>22</v>
      </c>
      <c r="B8" s="26" t="s">
        <v>6</v>
      </c>
      <c r="C8" s="19">
        <v>7</v>
      </c>
      <c r="D8" s="18" t="s">
        <v>10</v>
      </c>
      <c r="E8" s="48">
        <f>972
-26</f>
        <v>946</v>
      </c>
      <c r="F8" s="18">
        <v>12</v>
      </c>
      <c r="G8" s="18">
        <f>E8-F8</f>
        <v>934</v>
      </c>
    </row>
    <row r="9" spans="1:7" x14ac:dyDescent="0.3">
      <c r="A9" s="22" t="s">
        <v>22</v>
      </c>
      <c r="B9" s="25" t="s">
        <v>7</v>
      </c>
      <c r="C9" s="22">
        <v>8</v>
      </c>
      <c r="D9" s="18" t="s">
        <v>10</v>
      </c>
      <c r="E9" s="1">
        <f>778-22</f>
        <v>756</v>
      </c>
      <c r="F9" s="23">
        <v>11</v>
      </c>
      <c r="G9" s="18">
        <f t="shared" si="0"/>
        <v>745</v>
      </c>
    </row>
    <row r="10" spans="1:7" x14ac:dyDescent="0.3">
      <c r="A10" s="19" t="s">
        <v>22</v>
      </c>
      <c r="B10" s="26" t="s">
        <v>8</v>
      </c>
      <c r="C10" s="19">
        <v>9</v>
      </c>
      <c r="D10" s="18" t="s">
        <v>10</v>
      </c>
      <c r="E10" s="48">
        <f>939-26</f>
        <v>913</v>
      </c>
      <c r="F10" s="18">
        <v>19</v>
      </c>
      <c r="G10" s="18">
        <f t="shared" si="0"/>
        <v>894</v>
      </c>
    </row>
    <row r="11" spans="1:7" x14ac:dyDescent="0.3">
      <c r="A11" s="22" t="s">
        <v>22</v>
      </c>
      <c r="B11" s="25" t="s">
        <v>19</v>
      </c>
      <c r="C11" s="22">
        <v>10</v>
      </c>
      <c r="D11" s="18" t="s">
        <v>10</v>
      </c>
      <c r="E11" s="48">
        <f>799-37</f>
        <v>762</v>
      </c>
      <c r="F11" s="25">
        <v>10</v>
      </c>
      <c r="G11" s="18">
        <f t="shared" si="0"/>
        <v>752</v>
      </c>
    </row>
    <row r="12" spans="1:7" x14ac:dyDescent="0.3">
      <c r="A12" s="19" t="s">
        <v>22</v>
      </c>
      <c r="B12" s="26" t="s">
        <v>21</v>
      </c>
      <c r="C12" s="19">
        <v>11</v>
      </c>
      <c r="D12" s="18" t="s">
        <v>10</v>
      </c>
      <c r="E12" s="1">
        <f>831-22</f>
        <v>809</v>
      </c>
      <c r="F12" s="26">
        <v>4</v>
      </c>
      <c r="G12" s="18">
        <f t="shared" si="0"/>
        <v>805</v>
      </c>
    </row>
    <row r="13" spans="1:7" x14ac:dyDescent="0.3">
      <c r="A13" s="22" t="s">
        <v>22</v>
      </c>
      <c r="B13" s="25" t="s">
        <v>20</v>
      </c>
      <c r="C13" s="22">
        <v>12</v>
      </c>
      <c r="D13" s="18" t="s">
        <v>10</v>
      </c>
      <c r="E13" s="48">
        <v>1100</v>
      </c>
      <c r="F13" s="27">
        <v>17</v>
      </c>
      <c r="G13" s="18">
        <f>E13-F13</f>
        <v>1083</v>
      </c>
    </row>
    <row r="14" spans="1:7" x14ac:dyDescent="0.3">
      <c r="A14" s="17" t="s">
        <v>23</v>
      </c>
      <c r="B14" s="26" t="s">
        <v>0</v>
      </c>
      <c r="C14" s="19">
        <v>1</v>
      </c>
      <c r="D14" s="18" t="s">
        <v>10</v>
      </c>
      <c r="E14" s="1">
        <f>1002-26</f>
        <v>976</v>
      </c>
      <c r="F14" s="18">
        <v>19</v>
      </c>
      <c r="G14" s="18">
        <f t="shared" si="0"/>
        <v>957</v>
      </c>
    </row>
    <row r="15" spans="1:7" x14ac:dyDescent="0.3">
      <c r="A15" s="22" t="s">
        <v>23</v>
      </c>
      <c r="B15" s="25" t="s">
        <v>1</v>
      </c>
      <c r="C15" s="22">
        <v>2</v>
      </c>
      <c r="D15" s="18" t="s">
        <v>10</v>
      </c>
      <c r="E15" s="48">
        <v>903</v>
      </c>
      <c r="F15" s="23">
        <v>19</v>
      </c>
      <c r="G15" s="18">
        <f>E15-F15</f>
        <v>884</v>
      </c>
    </row>
    <row r="16" spans="1:7" x14ac:dyDescent="0.3">
      <c r="A16" s="19" t="s">
        <v>23</v>
      </c>
      <c r="B16" s="26" t="s">
        <v>2</v>
      </c>
      <c r="C16" s="19">
        <v>3</v>
      </c>
      <c r="D16" s="18" t="s">
        <v>10</v>
      </c>
      <c r="E16" s="1">
        <f>1074-43</f>
        <v>1031</v>
      </c>
      <c r="F16" s="21">
        <v>14</v>
      </c>
      <c r="G16" s="18">
        <f t="shared" si="0"/>
        <v>1017</v>
      </c>
    </row>
    <row r="17" spans="1:7" x14ac:dyDescent="0.3">
      <c r="A17" s="22" t="s">
        <v>23</v>
      </c>
      <c r="B17" s="25" t="s">
        <v>3</v>
      </c>
      <c r="C17" s="22">
        <v>4</v>
      </c>
      <c r="D17" s="18" t="s">
        <v>10</v>
      </c>
      <c r="E17" s="48">
        <f>955
-27</f>
        <v>928</v>
      </c>
      <c r="F17" s="24">
        <v>16</v>
      </c>
      <c r="G17" s="18">
        <f t="shared" si="0"/>
        <v>912</v>
      </c>
    </row>
    <row r="18" spans="1:7" x14ac:dyDescent="0.3">
      <c r="A18" s="19" t="s">
        <v>23</v>
      </c>
      <c r="B18" s="26" t="s">
        <v>4</v>
      </c>
      <c r="C18" s="19">
        <v>5</v>
      </c>
      <c r="D18" s="18" t="s">
        <v>10</v>
      </c>
      <c r="E18" s="48">
        <f>1009-25</f>
        <v>984</v>
      </c>
      <c r="F18" s="21">
        <v>19</v>
      </c>
      <c r="G18" s="18">
        <f t="shared" si="0"/>
        <v>965</v>
      </c>
    </row>
    <row r="19" spans="1:7" x14ac:dyDescent="0.3">
      <c r="A19" s="22" t="s">
        <v>23</v>
      </c>
      <c r="B19" s="25" t="s">
        <v>5</v>
      </c>
      <c r="C19" s="22">
        <v>6</v>
      </c>
      <c r="D19" s="18" t="s">
        <v>10</v>
      </c>
      <c r="E19" s="1">
        <f>1032-34</f>
        <v>998</v>
      </c>
      <c r="F19" s="24">
        <v>25</v>
      </c>
      <c r="G19" s="18">
        <f t="shared" si="0"/>
        <v>973</v>
      </c>
    </row>
    <row r="20" spans="1:7" x14ac:dyDescent="0.3">
      <c r="A20" s="19" t="s">
        <v>23</v>
      </c>
      <c r="B20" s="26" t="s">
        <v>6</v>
      </c>
      <c r="C20" s="19">
        <v>7</v>
      </c>
      <c r="D20" s="18" t="s">
        <v>10</v>
      </c>
      <c r="E20" s="48">
        <f>602
-15</f>
        <v>587</v>
      </c>
      <c r="F20" s="21">
        <v>19</v>
      </c>
      <c r="G20" s="18">
        <f>E20-F20</f>
        <v>568</v>
      </c>
    </row>
    <row r="21" spans="1:7" x14ac:dyDescent="0.3">
      <c r="A21" s="22" t="s">
        <v>23</v>
      </c>
      <c r="B21" s="25" t="s">
        <v>7</v>
      </c>
      <c r="C21" s="22">
        <v>8</v>
      </c>
      <c r="D21" s="18" t="s">
        <v>10</v>
      </c>
      <c r="E21" s="1">
        <f>972-32</f>
        <v>940</v>
      </c>
      <c r="F21" s="24">
        <v>25</v>
      </c>
      <c r="G21" s="18">
        <f t="shared" si="0"/>
        <v>915</v>
      </c>
    </row>
    <row r="22" spans="1:7" x14ac:dyDescent="0.3">
      <c r="A22" s="19" t="s">
        <v>23</v>
      </c>
      <c r="B22" s="26" t="s">
        <v>8</v>
      </c>
      <c r="C22" s="19">
        <v>9</v>
      </c>
      <c r="D22" s="18" t="s">
        <v>10</v>
      </c>
      <c r="E22" s="48">
        <v>904</v>
      </c>
      <c r="F22" s="21">
        <v>21</v>
      </c>
      <c r="G22" s="18">
        <f t="shared" si="0"/>
        <v>883</v>
      </c>
    </row>
    <row r="23" spans="1:7" x14ac:dyDescent="0.3">
      <c r="A23" s="22" t="s">
        <v>23</v>
      </c>
      <c r="B23" s="25" t="s">
        <v>19</v>
      </c>
      <c r="C23" s="22">
        <v>10</v>
      </c>
      <c r="D23" s="18" t="s">
        <v>10</v>
      </c>
      <c r="E23" s="48">
        <f>804
-12</f>
        <v>792</v>
      </c>
      <c r="F23" s="24">
        <v>17</v>
      </c>
      <c r="G23" s="18">
        <f t="shared" si="0"/>
        <v>775</v>
      </c>
    </row>
    <row r="24" spans="1:7" x14ac:dyDescent="0.3">
      <c r="A24" s="19" t="s">
        <v>23</v>
      </c>
      <c r="B24" s="26" t="s">
        <v>21</v>
      </c>
      <c r="C24" s="19">
        <v>11</v>
      </c>
      <c r="D24" s="18" t="s">
        <v>10</v>
      </c>
      <c r="E24" s="1">
        <f>864-18</f>
        <v>846</v>
      </c>
      <c r="F24" s="21">
        <v>16</v>
      </c>
      <c r="G24" s="18">
        <f t="shared" si="0"/>
        <v>830</v>
      </c>
    </row>
    <row r="25" spans="1:7" x14ac:dyDescent="0.3">
      <c r="A25" s="22" t="s">
        <v>23</v>
      </c>
      <c r="B25" s="25" t="s">
        <v>20</v>
      </c>
      <c r="C25" s="22">
        <v>12</v>
      </c>
      <c r="D25" s="18" t="s">
        <v>10</v>
      </c>
      <c r="E25" s="48">
        <f>939
-27</f>
        <v>912</v>
      </c>
      <c r="F25" s="24">
        <v>17</v>
      </c>
      <c r="G25" s="18">
        <f>E25-F25</f>
        <v>895</v>
      </c>
    </row>
    <row r="26" spans="1:7" x14ac:dyDescent="0.3">
      <c r="A26" s="17" t="s">
        <v>24</v>
      </c>
      <c r="B26" s="26" t="s">
        <v>0</v>
      </c>
      <c r="C26" s="19">
        <v>1</v>
      </c>
      <c r="D26" s="18" t="s">
        <v>10</v>
      </c>
      <c r="E26" s="1">
        <f>941-24</f>
        <v>917</v>
      </c>
      <c r="F26" s="21">
        <v>22</v>
      </c>
      <c r="G26" s="18">
        <f t="shared" si="0"/>
        <v>895</v>
      </c>
    </row>
    <row r="27" spans="1:7" x14ac:dyDescent="0.3">
      <c r="A27" s="22" t="s">
        <v>24</v>
      </c>
      <c r="B27" s="25" t="s">
        <v>1</v>
      </c>
      <c r="C27" s="22">
        <v>2</v>
      </c>
      <c r="D27" s="18" t="s">
        <v>10</v>
      </c>
      <c r="E27" s="48">
        <f>979
-25</f>
        <v>954</v>
      </c>
      <c r="F27" s="24">
        <v>23</v>
      </c>
      <c r="G27" s="18">
        <f>E27-F27</f>
        <v>931</v>
      </c>
    </row>
    <row r="28" spans="1:7" x14ac:dyDescent="0.3">
      <c r="A28" s="19" t="s">
        <v>24</v>
      </c>
      <c r="B28" s="26" t="s">
        <v>2</v>
      </c>
      <c r="C28" s="19">
        <v>3</v>
      </c>
      <c r="D28" s="18" t="s">
        <v>10</v>
      </c>
      <c r="E28" s="1">
        <f>997-26</f>
        <v>971</v>
      </c>
      <c r="F28" s="21">
        <v>23</v>
      </c>
      <c r="G28" s="18">
        <f t="shared" si="0"/>
        <v>948</v>
      </c>
    </row>
    <row r="29" spans="1:7" x14ac:dyDescent="0.3">
      <c r="A29" s="22" t="s">
        <v>24</v>
      </c>
      <c r="B29" s="25" t="s">
        <v>3</v>
      </c>
      <c r="C29" s="22">
        <v>4</v>
      </c>
      <c r="D29" s="18" t="s">
        <v>10</v>
      </c>
      <c r="E29" s="48">
        <f>1066
-22</f>
        <v>1044</v>
      </c>
      <c r="F29" s="24">
        <v>15</v>
      </c>
      <c r="G29" s="18">
        <f t="shared" si="0"/>
        <v>1029</v>
      </c>
    </row>
    <row r="30" spans="1:7" x14ac:dyDescent="0.3">
      <c r="A30" s="19" t="s">
        <v>24</v>
      </c>
      <c r="B30" s="26" t="s">
        <v>4</v>
      </c>
      <c r="C30" s="19">
        <v>5</v>
      </c>
      <c r="D30" s="18" t="s">
        <v>10</v>
      </c>
      <c r="E30" s="48">
        <f>1081
-22</f>
        <v>1059</v>
      </c>
      <c r="F30" s="21">
        <v>23</v>
      </c>
      <c r="G30" s="18">
        <f t="shared" si="0"/>
        <v>1036</v>
      </c>
    </row>
    <row r="31" spans="1:7" x14ac:dyDescent="0.3">
      <c r="A31" s="22" t="s">
        <v>24</v>
      </c>
      <c r="B31" s="25" t="s">
        <v>5</v>
      </c>
      <c r="C31" s="22">
        <v>6</v>
      </c>
      <c r="D31" s="18" t="s">
        <v>10</v>
      </c>
      <c r="E31" s="1">
        <f>1016-35</f>
        <v>981</v>
      </c>
      <c r="F31" s="24">
        <v>16</v>
      </c>
      <c r="G31" s="18">
        <f t="shared" si="0"/>
        <v>965</v>
      </c>
    </row>
    <row r="32" spans="1:7" x14ac:dyDescent="0.3">
      <c r="A32" s="19" t="s">
        <v>24</v>
      </c>
      <c r="B32" s="26" t="s">
        <v>6</v>
      </c>
      <c r="C32" s="19">
        <v>7</v>
      </c>
      <c r="D32" s="18" t="s">
        <v>10</v>
      </c>
      <c r="E32" s="48">
        <f>929
-32</f>
        <v>897</v>
      </c>
      <c r="F32" s="21">
        <v>21</v>
      </c>
      <c r="G32" s="18">
        <f>E32-F32</f>
        <v>876</v>
      </c>
    </row>
    <row r="33" spans="1:7" x14ac:dyDescent="0.3">
      <c r="A33" s="22" t="s">
        <v>24</v>
      </c>
      <c r="B33" s="25" t="s">
        <v>7</v>
      </c>
      <c r="C33" s="22">
        <v>8</v>
      </c>
      <c r="D33" s="18" t="s">
        <v>10</v>
      </c>
      <c r="E33" s="1">
        <f>644-25</f>
        <v>619</v>
      </c>
      <c r="F33" s="24">
        <v>16</v>
      </c>
      <c r="G33" s="18">
        <f t="shared" si="0"/>
        <v>603</v>
      </c>
    </row>
    <row r="34" spans="1:7" x14ac:dyDescent="0.3">
      <c r="A34" s="19" t="s">
        <v>24</v>
      </c>
      <c r="B34" s="26" t="s">
        <v>8</v>
      </c>
      <c r="C34" s="19">
        <v>9</v>
      </c>
      <c r="D34" s="18" t="s">
        <v>10</v>
      </c>
      <c r="E34" s="48">
        <f>946-31</f>
        <v>915</v>
      </c>
      <c r="F34" s="21">
        <v>16</v>
      </c>
      <c r="G34" s="18">
        <f t="shared" si="0"/>
        <v>899</v>
      </c>
    </row>
    <row r="35" spans="1:7" x14ac:dyDescent="0.3">
      <c r="A35" s="22" t="s">
        <v>24</v>
      </c>
      <c r="B35" s="25" t="s">
        <v>19</v>
      </c>
      <c r="C35" s="22">
        <v>10</v>
      </c>
      <c r="D35" s="18" t="s">
        <v>10</v>
      </c>
      <c r="E35" s="48">
        <v>802</v>
      </c>
      <c r="F35" s="24">
        <v>11</v>
      </c>
      <c r="G35" s="18">
        <f t="shared" si="0"/>
        <v>791</v>
      </c>
    </row>
    <row r="36" spans="1:7" x14ac:dyDescent="0.3">
      <c r="A36" s="19" t="s">
        <v>24</v>
      </c>
      <c r="B36" s="26" t="s">
        <v>21</v>
      </c>
      <c r="C36" s="19">
        <v>11</v>
      </c>
      <c r="D36" s="18" t="s">
        <v>10</v>
      </c>
      <c r="E36" s="1">
        <f>960-38</f>
        <v>922</v>
      </c>
      <c r="F36" s="21">
        <v>20</v>
      </c>
      <c r="G36" s="18">
        <f t="shared" si="0"/>
        <v>902</v>
      </c>
    </row>
    <row r="37" spans="1:7" x14ac:dyDescent="0.3">
      <c r="A37" s="22" t="s">
        <v>24</v>
      </c>
      <c r="B37" s="25" t="s">
        <v>20</v>
      </c>
      <c r="C37" s="22">
        <v>12</v>
      </c>
      <c r="D37" s="18" t="s">
        <v>10</v>
      </c>
      <c r="E37" s="48">
        <f>897
-32</f>
        <v>865</v>
      </c>
      <c r="F37" s="24">
        <v>13</v>
      </c>
      <c r="G37" s="18">
        <f>E37-F37</f>
        <v>852</v>
      </c>
    </row>
    <row r="38" spans="1:7" x14ac:dyDescent="0.3">
      <c r="A38" s="17" t="s">
        <v>25</v>
      </c>
      <c r="B38" s="26" t="s">
        <v>0</v>
      </c>
      <c r="C38" s="19">
        <v>1</v>
      </c>
      <c r="D38" s="18" t="s">
        <v>10</v>
      </c>
      <c r="E38" s="1">
        <f>961-35</f>
        <v>926</v>
      </c>
      <c r="F38" s="21">
        <v>14</v>
      </c>
      <c r="G38" s="18">
        <f t="shared" si="0"/>
        <v>912</v>
      </c>
    </row>
    <row r="39" spans="1:7" x14ac:dyDescent="0.3">
      <c r="A39" s="22" t="s">
        <v>25</v>
      </c>
      <c r="B39" s="25" t="s">
        <v>1</v>
      </c>
      <c r="C39" s="22">
        <v>2</v>
      </c>
      <c r="D39" s="18" t="s">
        <v>10</v>
      </c>
      <c r="E39" s="48">
        <v>938</v>
      </c>
      <c r="F39" s="24">
        <v>16</v>
      </c>
      <c r="G39" s="18">
        <f>E39-F39</f>
        <v>922</v>
      </c>
    </row>
    <row r="40" spans="1:7" x14ac:dyDescent="0.3">
      <c r="A40" s="19" t="s">
        <v>25</v>
      </c>
      <c r="B40" s="26" t="s">
        <v>2</v>
      </c>
      <c r="C40" s="19">
        <v>3</v>
      </c>
      <c r="D40" s="18" t="s">
        <v>10</v>
      </c>
      <c r="E40" s="1">
        <f>1021-34</f>
        <v>987</v>
      </c>
      <c r="F40" s="21">
        <v>15</v>
      </c>
      <c r="G40" s="18">
        <f t="shared" si="0"/>
        <v>972</v>
      </c>
    </row>
    <row r="41" spans="1:7" x14ac:dyDescent="0.3">
      <c r="A41" s="22" t="s">
        <v>25</v>
      </c>
      <c r="B41" s="25" t="s">
        <v>3</v>
      </c>
      <c r="C41" s="22">
        <v>4</v>
      </c>
      <c r="D41" s="18" t="s">
        <v>10</v>
      </c>
      <c r="E41" s="48">
        <f>1144
-37</f>
        <v>1107</v>
      </c>
      <c r="F41" s="24">
        <v>16</v>
      </c>
      <c r="G41" s="18">
        <f t="shared" si="0"/>
        <v>1091</v>
      </c>
    </row>
    <row r="42" spans="1:7" x14ac:dyDescent="0.3">
      <c r="A42" s="19" t="s">
        <v>25</v>
      </c>
      <c r="B42" s="26" t="s">
        <v>4</v>
      </c>
      <c r="C42" s="19">
        <v>5</v>
      </c>
      <c r="D42" s="18" t="s">
        <v>10</v>
      </c>
      <c r="E42" s="48">
        <f>863
-17</f>
        <v>846</v>
      </c>
      <c r="F42" s="21">
        <v>14</v>
      </c>
      <c r="G42" s="18">
        <f t="shared" si="0"/>
        <v>832</v>
      </c>
    </row>
    <row r="43" spans="1:7" x14ac:dyDescent="0.3">
      <c r="A43" s="22" t="s">
        <v>25</v>
      </c>
      <c r="B43" s="25" t="s">
        <v>5</v>
      </c>
      <c r="C43" s="22">
        <v>6</v>
      </c>
      <c r="D43" s="18" t="s">
        <v>10</v>
      </c>
      <c r="E43" s="1">
        <f>1019-25</f>
        <v>994</v>
      </c>
      <c r="F43" s="24">
        <v>18</v>
      </c>
      <c r="G43" s="18">
        <f t="shared" si="0"/>
        <v>976</v>
      </c>
    </row>
    <row r="44" spans="1:7" x14ac:dyDescent="0.3">
      <c r="A44" s="19" t="s">
        <v>25</v>
      </c>
      <c r="B44" s="26" t="s">
        <v>6</v>
      </c>
      <c r="C44" s="19">
        <v>7</v>
      </c>
      <c r="D44" s="18" t="s">
        <v>10</v>
      </c>
      <c r="E44" s="48">
        <f>791-29</f>
        <v>762</v>
      </c>
      <c r="F44" s="21">
        <v>13</v>
      </c>
      <c r="G44" s="18">
        <f>E44-F44</f>
        <v>749</v>
      </c>
    </row>
    <row r="45" spans="1:7" x14ac:dyDescent="0.3">
      <c r="A45" s="22" t="s">
        <v>25</v>
      </c>
      <c r="B45" s="25" t="s">
        <v>7</v>
      </c>
      <c r="C45" s="22">
        <v>8</v>
      </c>
      <c r="D45" s="18" t="s">
        <v>10</v>
      </c>
      <c r="E45" s="1">
        <f>783-33</f>
        <v>750</v>
      </c>
      <c r="F45" s="24">
        <v>15</v>
      </c>
      <c r="G45" s="18">
        <f t="shared" si="0"/>
        <v>735</v>
      </c>
    </row>
    <row r="46" spans="1:7" x14ac:dyDescent="0.3">
      <c r="A46" s="19" t="s">
        <v>25</v>
      </c>
      <c r="B46" s="26" t="s">
        <v>8</v>
      </c>
      <c r="C46" s="19">
        <v>9</v>
      </c>
      <c r="D46" s="18" t="s">
        <v>10</v>
      </c>
      <c r="E46" s="48">
        <v>803</v>
      </c>
      <c r="F46" s="21">
        <v>10</v>
      </c>
      <c r="G46" s="18">
        <f t="shared" si="0"/>
        <v>793</v>
      </c>
    </row>
    <row r="47" spans="1:7" x14ac:dyDescent="0.3">
      <c r="A47" s="22" t="s">
        <v>25</v>
      </c>
      <c r="B47" s="25" t="s">
        <v>19</v>
      </c>
      <c r="C47" s="22">
        <v>10</v>
      </c>
      <c r="D47" s="18" t="s">
        <v>10</v>
      </c>
      <c r="E47" s="48">
        <f>879
-28</f>
        <v>851</v>
      </c>
      <c r="F47" s="24">
        <v>9</v>
      </c>
      <c r="G47" s="18">
        <f t="shared" si="0"/>
        <v>842</v>
      </c>
    </row>
    <row r="48" spans="1:7" x14ac:dyDescent="0.3">
      <c r="A48" s="19" t="s">
        <v>25</v>
      </c>
      <c r="B48" s="26" t="s">
        <v>21</v>
      </c>
      <c r="C48" s="19">
        <v>11</v>
      </c>
      <c r="D48" s="18" t="s">
        <v>10</v>
      </c>
      <c r="E48" s="1">
        <f>776-29</f>
        <v>747</v>
      </c>
      <c r="F48" s="21">
        <v>11</v>
      </c>
      <c r="G48" s="18">
        <f t="shared" si="0"/>
        <v>736</v>
      </c>
    </row>
    <row r="49" spans="1:7" x14ac:dyDescent="0.3">
      <c r="A49" s="22" t="s">
        <v>25</v>
      </c>
      <c r="B49" s="25" t="s">
        <v>20</v>
      </c>
      <c r="C49" s="22">
        <v>12</v>
      </c>
      <c r="D49" s="18" t="s">
        <v>10</v>
      </c>
      <c r="E49" s="48">
        <v>811</v>
      </c>
      <c r="F49" s="24">
        <v>17</v>
      </c>
      <c r="G49" s="18">
        <f>E49-F49</f>
        <v>794</v>
      </c>
    </row>
    <row r="50" spans="1:7" x14ac:dyDescent="0.3">
      <c r="A50" s="17" t="s">
        <v>26</v>
      </c>
      <c r="B50" s="26" t="s">
        <v>0</v>
      </c>
      <c r="C50" s="19">
        <v>1</v>
      </c>
      <c r="D50" s="18" t="s">
        <v>10</v>
      </c>
      <c r="E50" s="1">
        <f>968-34</f>
        <v>934</v>
      </c>
      <c r="F50" s="21">
        <v>15</v>
      </c>
      <c r="G50" s="18">
        <f t="shared" si="0"/>
        <v>919</v>
      </c>
    </row>
    <row r="51" spans="1:7" x14ac:dyDescent="0.3">
      <c r="A51" s="22" t="s">
        <v>26</v>
      </c>
      <c r="B51" s="25" t="s">
        <v>1</v>
      </c>
      <c r="C51" s="22">
        <v>2</v>
      </c>
      <c r="D51" s="18" t="s">
        <v>10</v>
      </c>
      <c r="E51" s="48">
        <v>899</v>
      </c>
      <c r="F51" s="24">
        <v>22</v>
      </c>
      <c r="G51" s="18">
        <f>E51-F51</f>
        <v>877</v>
      </c>
    </row>
    <row r="52" spans="1:7" x14ac:dyDescent="0.3">
      <c r="A52" s="19" t="s">
        <v>26</v>
      </c>
      <c r="B52" s="26" t="s">
        <v>2</v>
      </c>
      <c r="C52" s="19">
        <v>3</v>
      </c>
      <c r="D52" s="18" t="s">
        <v>10</v>
      </c>
      <c r="E52" s="1">
        <f>1000-33</f>
        <v>967</v>
      </c>
      <c r="F52" s="21">
        <v>11</v>
      </c>
      <c r="G52" s="18">
        <f t="shared" si="0"/>
        <v>956</v>
      </c>
    </row>
    <row r="53" spans="1:7" x14ac:dyDescent="0.3">
      <c r="A53" s="22" t="s">
        <v>26</v>
      </c>
      <c r="B53" s="25" t="s">
        <v>3</v>
      </c>
      <c r="C53" s="22">
        <v>4</v>
      </c>
      <c r="D53" s="18" t="s">
        <v>10</v>
      </c>
      <c r="E53" s="48">
        <f>1083
-31</f>
        <v>1052</v>
      </c>
      <c r="F53" s="24">
        <v>22</v>
      </c>
      <c r="G53" s="18">
        <f t="shared" si="0"/>
        <v>1030</v>
      </c>
    </row>
    <row r="54" spans="1:7" x14ac:dyDescent="0.3">
      <c r="A54" s="19" t="s">
        <v>26</v>
      </c>
      <c r="B54" s="26" t="s">
        <v>4</v>
      </c>
      <c r="C54" s="19">
        <v>5</v>
      </c>
      <c r="D54" s="18" t="s">
        <v>10</v>
      </c>
      <c r="E54" s="48">
        <f>884-22</f>
        <v>862</v>
      </c>
      <c r="F54" s="21">
        <v>15</v>
      </c>
      <c r="G54" s="18">
        <f t="shared" si="0"/>
        <v>847</v>
      </c>
    </row>
    <row r="55" spans="1:7" x14ac:dyDescent="0.3">
      <c r="A55" s="22" t="s">
        <v>26</v>
      </c>
      <c r="B55" s="25" t="s">
        <v>5</v>
      </c>
      <c r="C55" s="22">
        <v>6</v>
      </c>
      <c r="D55" s="18" t="s">
        <v>10</v>
      </c>
      <c r="E55" s="1">
        <f>927-34</f>
        <v>893</v>
      </c>
      <c r="F55" s="24">
        <v>21</v>
      </c>
      <c r="G55" s="18">
        <f t="shared" si="0"/>
        <v>872</v>
      </c>
    </row>
    <row r="56" spans="1:7" x14ac:dyDescent="0.3">
      <c r="A56" s="19" t="s">
        <v>26</v>
      </c>
      <c r="B56" s="26" t="s">
        <v>6</v>
      </c>
      <c r="C56" s="19">
        <v>7</v>
      </c>
      <c r="D56" s="18" t="s">
        <v>10</v>
      </c>
      <c r="E56" s="48">
        <f>614
-23</f>
        <v>591</v>
      </c>
      <c r="F56" s="21">
        <v>12</v>
      </c>
      <c r="G56" s="18">
        <f>E56-F56</f>
        <v>579</v>
      </c>
    </row>
    <row r="57" spans="1:7" x14ac:dyDescent="0.3">
      <c r="A57" s="22" t="s">
        <v>26</v>
      </c>
      <c r="B57" s="25" t="s">
        <v>7</v>
      </c>
      <c r="C57" s="22">
        <v>8</v>
      </c>
      <c r="D57" s="18" t="s">
        <v>10</v>
      </c>
      <c r="E57" s="1">
        <f>869-34</f>
        <v>835</v>
      </c>
      <c r="F57" s="24">
        <v>19</v>
      </c>
      <c r="G57" s="18">
        <f t="shared" si="0"/>
        <v>816</v>
      </c>
    </row>
    <row r="58" spans="1:7" x14ac:dyDescent="0.3">
      <c r="A58" s="19" t="s">
        <v>26</v>
      </c>
      <c r="B58" s="26" t="s">
        <v>8</v>
      </c>
      <c r="C58" s="19">
        <v>9</v>
      </c>
      <c r="D58" s="18" t="s">
        <v>10</v>
      </c>
      <c r="E58" s="48">
        <f>917
-26</f>
        <v>891</v>
      </c>
      <c r="F58" s="21">
        <v>23</v>
      </c>
      <c r="G58" s="18">
        <f t="shared" si="0"/>
        <v>868</v>
      </c>
    </row>
    <row r="59" spans="1:7" x14ac:dyDescent="0.3">
      <c r="A59" s="22" t="s">
        <v>26</v>
      </c>
      <c r="B59" s="25" t="s">
        <v>19</v>
      </c>
      <c r="C59" s="22">
        <v>10</v>
      </c>
      <c r="D59" s="18" t="s">
        <v>10</v>
      </c>
      <c r="E59" s="48">
        <f>763
-27</f>
        <v>736</v>
      </c>
      <c r="F59" s="24">
        <v>16</v>
      </c>
      <c r="G59" s="18">
        <f t="shared" si="0"/>
        <v>720</v>
      </c>
    </row>
    <row r="60" spans="1:7" x14ac:dyDescent="0.3">
      <c r="A60" s="19" t="s">
        <v>26</v>
      </c>
      <c r="B60" s="26" t="s">
        <v>21</v>
      </c>
      <c r="C60" s="19">
        <v>11</v>
      </c>
      <c r="D60" s="18" t="s">
        <v>10</v>
      </c>
      <c r="E60" s="1">
        <f>821-28</f>
        <v>793</v>
      </c>
      <c r="F60" s="21">
        <v>13</v>
      </c>
      <c r="G60" s="18">
        <f t="shared" si="0"/>
        <v>780</v>
      </c>
    </row>
    <row r="61" spans="1:7" x14ac:dyDescent="0.3">
      <c r="A61" s="22" t="s">
        <v>26</v>
      </c>
      <c r="B61" s="25" t="s">
        <v>20</v>
      </c>
      <c r="C61" s="22">
        <v>12</v>
      </c>
      <c r="D61" s="18" t="s">
        <v>10</v>
      </c>
      <c r="E61" s="48">
        <f>803
-36</f>
        <v>767</v>
      </c>
      <c r="F61" s="24">
        <v>14</v>
      </c>
      <c r="G61" s="18">
        <f>E61-F61</f>
        <v>753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C7663-D944-416C-A739-6F0FC5A678A8}">
  <dimension ref="A1"/>
  <sheetViews>
    <sheetView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19B8-64E3-45C7-AC90-8C9226E56BA9}">
  <dimension ref="A1:G61"/>
  <sheetViews>
    <sheetView workbookViewId="0">
      <selection activeCell="J18" sqref="J18"/>
    </sheetView>
  </sheetViews>
  <sheetFormatPr defaultRowHeight="14.4" x14ac:dyDescent="0.3"/>
  <sheetData>
    <row r="1" spans="1:7" ht="15" thickBot="1" x14ac:dyDescent="0.35">
      <c r="A1" s="14" t="s">
        <v>32</v>
      </c>
      <c r="B1" s="15" t="s">
        <v>27</v>
      </c>
      <c r="C1" s="14" t="s">
        <v>30</v>
      </c>
      <c r="D1" s="15" t="s">
        <v>33</v>
      </c>
      <c r="E1" s="15" t="s">
        <v>34</v>
      </c>
      <c r="F1" s="14" t="s">
        <v>35</v>
      </c>
      <c r="G1" s="16" t="s">
        <v>36</v>
      </c>
    </row>
    <row r="2" spans="1:7" ht="15" thickTop="1" x14ac:dyDescent="0.3">
      <c r="A2" s="29" t="s">
        <v>22</v>
      </c>
      <c r="B2" s="30" t="s">
        <v>0</v>
      </c>
      <c r="C2" s="31">
        <v>1</v>
      </c>
      <c r="D2" s="20" t="s">
        <v>14</v>
      </c>
      <c r="E2" s="18">
        <f>452-5</f>
        <v>447</v>
      </c>
      <c r="F2" s="18">
        <v>14</v>
      </c>
      <c r="G2" s="18">
        <f>E2-F2</f>
        <v>433</v>
      </c>
    </row>
    <row r="3" spans="1:7" x14ac:dyDescent="0.3">
      <c r="A3" s="22" t="s">
        <v>22</v>
      </c>
      <c r="B3" s="25" t="s">
        <v>1</v>
      </c>
      <c r="C3" s="22">
        <v>2</v>
      </c>
      <c r="D3" s="18" t="s">
        <v>14</v>
      </c>
      <c r="E3" s="48">
        <f>399-3</f>
        <v>396</v>
      </c>
      <c r="F3" s="23">
        <v>20</v>
      </c>
      <c r="G3" s="18">
        <f t="shared" ref="G3:G61" si="0">E3-F3</f>
        <v>376</v>
      </c>
    </row>
    <row r="4" spans="1:7" x14ac:dyDescent="0.3">
      <c r="A4" s="19" t="s">
        <v>22</v>
      </c>
      <c r="B4" s="26" t="s">
        <v>2</v>
      </c>
      <c r="C4" s="19">
        <v>3</v>
      </c>
      <c r="D4" s="18" t="s">
        <v>14</v>
      </c>
      <c r="E4" s="18">
        <f>670-9</f>
        <v>661</v>
      </c>
      <c r="F4" s="18">
        <v>28</v>
      </c>
      <c r="G4" s="18">
        <f t="shared" si="0"/>
        <v>633</v>
      </c>
    </row>
    <row r="5" spans="1:7" x14ac:dyDescent="0.3">
      <c r="A5" s="22" t="s">
        <v>22</v>
      </c>
      <c r="B5" s="25" t="s">
        <v>3</v>
      </c>
      <c r="C5" s="22">
        <v>4</v>
      </c>
      <c r="D5" s="18" t="s">
        <v>14</v>
      </c>
      <c r="E5" s="48">
        <f>700-16</f>
        <v>684</v>
      </c>
      <c r="F5" s="23">
        <v>37</v>
      </c>
      <c r="G5" s="18">
        <f t="shared" si="0"/>
        <v>647</v>
      </c>
    </row>
    <row r="6" spans="1:7" x14ac:dyDescent="0.3">
      <c r="A6" s="19" t="s">
        <v>22</v>
      </c>
      <c r="B6" s="26" t="s">
        <v>4</v>
      </c>
      <c r="C6" s="19">
        <v>5</v>
      </c>
      <c r="D6" s="18" t="s">
        <v>14</v>
      </c>
      <c r="E6" s="48">
        <f>680
-12</f>
        <v>668</v>
      </c>
      <c r="F6" s="18">
        <v>25</v>
      </c>
      <c r="G6" s="18">
        <f t="shared" si="0"/>
        <v>643</v>
      </c>
    </row>
    <row r="7" spans="1:7" x14ac:dyDescent="0.3">
      <c r="A7" s="22" t="s">
        <v>22</v>
      </c>
      <c r="B7" s="25" t="s">
        <v>5</v>
      </c>
      <c r="C7" s="22">
        <v>6</v>
      </c>
      <c r="D7" s="18" t="s">
        <v>14</v>
      </c>
      <c r="E7" s="56">
        <f>704-13</f>
        <v>691</v>
      </c>
      <c r="F7" s="23">
        <v>24</v>
      </c>
      <c r="G7" s="18">
        <f t="shared" si="0"/>
        <v>667</v>
      </c>
    </row>
    <row r="8" spans="1:7" x14ac:dyDescent="0.3">
      <c r="A8" s="19" t="s">
        <v>22</v>
      </c>
      <c r="B8" s="26" t="s">
        <v>6</v>
      </c>
      <c r="C8" s="19">
        <v>7</v>
      </c>
      <c r="D8" s="18" t="s">
        <v>14</v>
      </c>
      <c r="E8" s="48">
        <f>641-7</f>
        <v>634</v>
      </c>
      <c r="F8" s="18">
        <v>29</v>
      </c>
      <c r="G8" s="18">
        <f t="shared" si="0"/>
        <v>605</v>
      </c>
    </row>
    <row r="9" spans="1:7" x14ac:dyDescent="0.3">
      <c r="A9" s="22" t="s">
        <v>22</v>
      </c>
      <c r="B9" s="25" t="s">
        <v>7</v>
      </c>
      <c r="C9" s="22">
        <v>8</v>
      </c>
      <c r="D9" s="18" t="s">
        <v>14</v>
      </c>
      <c r="E9" s="23">
        <f>583-7</f>
        <v>576</v>
      </c>
      <c r="F9" s="23">
        <v>32</v>
      </c>
      <c r="G9" s="18">
        <f t="shared" si="0"/>
        <v>544</v>
      </c>
    </row>
    <row r="10" spans="1:7" x14ac:dyDescent="0.3">
      <c r="A10" s="19" t="s">
        <v>22</v>
      </c>
      <c r="B10" s="26" t="s">
        <v>8</v>
      </c>
      <c r="C10" s="19">
        <v>9</v>
      </c>
      <c r="D10" s="18" t="s">
        <v>14</v>
      </c>
      <c r="E10" s="48">
        <f>623-11</f>
        <v>612</v>
      </c>
      <c r="F10" s="18">
        <v>29</v>
      </c>
      <c r="G10" s="18">
        <f t="shared" si="0"/>
        <v>583</v>
      </c>
    </row>
    <row r="11" spans="1:7" x14ac:dyDescent="0.3">
      <c r="A11" s="22" t="s">
        <v>22</v>
      </c>
      <c r="B11" s="25" t="s">
        <v>19</v>
      </c>
      <c r="C11" s="22">
        <v>10</v>
      </c>
      <c r="D11" s="18" t="s">
        <v>14</v>
      </c>
      <c r="E11" s="48">
        <f>528
-13</f>
        <v>515</v>
      </c>
      <c r="F11" s="25">
        <v>16</v>
      </c>
      <c r="G11" s="18">
        <f t="shared" si="0"/>
        <v>499</v>
      </c>
    </row>
    <row r="12" spans="1:7" x14ac:dyDescent="0.3">
      <c r="A12" s="19" t="s">
        <v>22</v>
      </c>
      <c r="B12" s="26" t="s">
        <v>21</v>
      </c>
      <c r="C12" s="19">
        <v>11</v>
      </c>
      <c r="D12" s="18" t="s">
        <v>14</v>
      </c>
      <c r="E12" s="18">
        <v>612</v>
      </c>
      <c r="F12" s="26">
        <v>27</v>
      </c>
      <c r="G12" s="18">
        <f t="shared" si="0"/>
        <v>585</v>
      </c>
    </row>
    <row r="13" spans="1:7" x14ac:dyDescent="0.3">
      <c r="A13" s="22" t="s">
        <v>22</v>
      </c>
      <c r="B13" s="25" t="s">
        <v>20</v>
      </c>
      <c r="C13" s="22">
        <v>12</v>
      </c>
      <c r="D13" s="18" t="s">
        <v>14</v>
      </c>
      <c r="E13" s="48">
        <f>779
-13</f>
        <v>766</v>
      </c>
      <c r="F13" s="27">
        <v>48</v>
      </c>
      <c r="G13" s="18">
        <f t="shared" si="0"/>
        <v>718</v>
      </c>
    </row>
    <row r="14" spans="1:7" x14ac:dyDescent="0.3">
      <c r="A14" s="17" t="s">
        <v>23</v>
      </c>
      <c r="B14" s="26" t="s">
        <v>0</v>
      </c>
      <c r="C14" s="19">
        <v>1</v>
      </c>
      <c r="D14" s="18" t="s">
        <v>14</v>
      </c>
      <c r="E14" s="18">
        <v>574</v>
      </c>
      <c r="F14" s="18">
        <v>34</v>
      </c>
      <c r="G14" s="18">
        <f t="shared" si="0"/>
        <v>540</v>
      </c>
    </row>
    <row r="15" spans="1:7" x14ac:dyDescent="0.3">
      <c r="A15" s="22" t="s">
        <v>23</v>
      </c>
      <c r="B15" s="25" t="s">
        <v>1</v>
      </c>
      <c r="C15" s="22">
        <v>2</v>
      </c>
      <c r="D15" s="18" t="s">
        <v>14</v>
      </c>
      <c r="E15" s="49">
        <v>650</v>
      </c>
      <c r="F15" s="23">
        <v>32</v>
      </c>
      <c r="G15" s="18">
        <f t="shared" si="0"/>
        <v>618</v>
      </c>
    </row>
    <row r="16" spans="1:7" x14ac:dyDescent="0.3">
      <c r="A16" s="19" t="s">
        <v>23</v>
      </c>
      <c r="B16" s="26" t="s">
        <v>2</v>
      </c>
      <c r="C16" s="19">
        <v>3</v>
      </c>
      <c r="D16" s="18" t="s">
        <v>14</v>
      </c>
      <c r="E16" s="18">
        <f>652-7</f>
        <v>645</v>
      </c>
      <c r="F16" s="21">
        <v>34</v>
      </c>
      <c r="G16" s="18">
        <f t="shared" si="0"/>
        <v>611</v>
      </c>
    </row>
    <row r="17" spans="1:7" x14ac:dyDescent="0.3">
      <c r="A17" s="22" t="s">
        <v>23</v>
      </c>
      <c r="B17" s="25" t="s">
        <v>3</v>
      </c>
      <c r="C17" s="22">
        <v>4</v>
      </c>
      <c r="D17" s="18" t="s">
        <v>14</v>
      </c>
      <c r="E17" s="48">
        <v>750</v>
      </c>
      <c r="F17" s="24">
        <v>19</v>
      </c>
      <c r="G17" s="18">
        <f t="shared" si="0"/>
        <v>731</v>
      </c>
    </row>
    <row r="18" spans="1:7" x14ac:dyDescent="0.3">
      <c r="A18" s="19" t="s">
        <v>23</v>
      </c>
      <c r="B18" s="26" t="s">
        <v>4</v>
      </c>
      <c r="C18" s="19">
        <v>5</v>
      </c>
      <c r="D18" s="18" t="s">
        <v>14</v>
      </c>
      <c r="E18" s="48">
        <v>565</v>
      </c>
      <c r="F18" s="21">
        <v>24</v>
      </c>
      <c r="G18" s="18">
        <f t="shared" si="0"/>
        <v>541</v>
      </c>
    </row>
    <row r="19" spans="1:7" x14ac:dyDescent="0.3">
      <c r="A19" s="22" t="s">
        <v>23</v>
      </c>
      <c r="B19" s="25" t="s">
        <v>5</v>
      </c>
      <c r="C19" s="22">
        <v>6</v>
      </c>
      <c r="D19" s="18" t="s">
        <v>14</v>
      </c>
      <c r="E19" s="56">
        <v>745</v>
      </c>
      <c r="F19" s="24">
        <v>26</v>
      </c>
      <c r="G19" s="18">
        <f t="shared" si="0"/>
        <v>719</v>
      </c>
    </row>
    <row r="20" spans="1:7" x14ac:dyDescent="0.3">
      <c r="A20" s="19" t="s">
        <v>23</v>
      </c>
      <c r="B20" s="26" t="s">
        <v>6</v>
      </c>
      <c r="C20" s="19">
        <v>7</v>
      </c>
      <c r="D20" s="18" t="s">
        <v>14</v>
      </c>
      <c r="E20" s="48">
        <f>523
-7</f>
        <v>516</v>
      </c>
      <c r="F20" s="21">
        <v>27</v>
      </c>
      <c r="G20" s="18">
        <f t="shared" si="0"/>
        <v>489</v>
      </c>
    </row>
    <row r="21" spans="1:7" x14ac:dyDescent="0.3">
      <c r="A21" s="22" t="s">
        <v>23</v>
      </c>
      <c r="B21" s="25" t="s">
        <v>7</v>
      </c>
      <c r="C21" s="22">
        <v>8</v>
      </c>
      <c r="D21" s="18" t="s">
        <v>14</v>
      </c>
      <c r="E21" s="23">
        <f>769-12</f>
        <v>757</v>
      </c>
      <c r="F21" s="24">
        <v>31</v>
      </c>
      <c r="G21" s="18">
        <f t="shared" si="0"/>
        <v>726</v>
      </c>
    </row>
    <row r="22" spans="1:7" x14ac:dyDescent="0.3">
      <c r="A22" s="19" t="s">
        <v>23</v>
      </c>
      <c r="B22" s="26" t="s">
        <v>8</v>
      </c>
      <c r="C22" s="19">
        <v>9</v>
      </c>
      <c r="D22" s="18" t="s">
        <v>14</v>
      </c>
      <c r="E22" s="48">
        <v>676</v>
      </c>
      <c r="F22" s="21">
        <v>43</v>
      </c>
      <c r="G22" s="18">
        <f t="shared" si="0"/>
        <v>633</v>
      </c>
    </row>
    <row r="23" spans="1:7" x14ac:dyDescent="0.3">
      <c r="A23" s="22" t="s">
        <v>23</v>
      </c>
      <c r="B23" s="25" t="s">
        <v>19</v>
      </c>
      <c r="C23" s="22">
        <v>10</v>
      </c>
      <c r="D23" s="18" t="s">
        <v>14</v>
      </c>
      <c r="E23" s="48">
        <v>611</v>
      </c>
      <c r="F23" s="24">
        <v>29</v>
      </c>
      <c r="G23" s="18">
        <f t="shared" si="0"/>
        <v>582</v>
      </c>
    </row>
    <row r="24" spans="1:7" x14ac:dyDescent="0.3">
      <c r="A24" s="19" t="s">
        <v>23</v>
      </c>
      <c r="B24" s="26" t="s">
        <v>21</v>
      </c>
      <c r="C24" s="19">
        <v>11</v>
      </c>
      <c r="D24" s="18" t="s">
        <v>14</v>
      </c>
      <c r="E24" s="18">
        <f>766-13</f>
        <v>753</v>
      </c>
      <c r="F24" s="21">
        <v>46</v>
      </c>
      <c r="G24" s="18">
        <f t="shared" si="0"/>
        <v>707</v>
      </c>
    </row>
    <row r="25" spans="1:7" x14ac:dyDescent="0.3">
      <c r="A25" s="22" t="s">
        <v>23</v>
      </c>
      <c r="B25" s="25" t="s">
        <v>20</v>
      </c>
      <c r="C25" s="22">
        <v>12</v>
      </c>
      <c r="D25" s="18" t="s">
        <v>14</v>
      </c>
      <c r="E25" s="48">
        <f>749
-11</f>
        <v>738</v>
      </c>
      <c r="F25" s="24">
        <v>43</v>
      </c>
      <c r="G25" s="18">
        <f t="shared" si="0"/>
        <v>695</v>
      </c>
    </row>
    <row r="26" spans="1:7" x14ac:dyDescent="0.3">
      <c r="A26" s="17" t="s">
        <v>24</v>
      </c>
      <c r="B26" s="26" t="s">
        <v>0</v>
      </c>
      <c r="C26" s="19">
        <v>1</v>
      </c>
      <c r="D26" s="18" t="s">
        <v>14</v>
      </c>
      <c r="E26" s="18">
        <f>644-6</f>
        <v>638</v>
      </c>
      <c r="F26" s="21">
        <v>29</v>
      </c>
      <c r="G26" s="18">
        <f t="shared" si="0"/>
        <v>609</v>
      </c>
    </row>
    <row r="27" spans="1:7" x14ac:dyDescent="0.3">
      <c r="A27" s="22" t="s">
        <v>24</v>
      </c>
      <c r="B27" s="25" t="s">
        <v>1</v>
      </c>
      <c r="C27" s="22">
        <v>2</v>
      </c>
      <c r="D27" s="18" t="s">
        <v>14</v>
      </c>
      <c r="E27" s="48">
        <f>597
-13</f>
        <v>584</v>
      </c>
      <c r="F27" s="24">
        <v>29</v>
      </c>
      <c r="G27" s="18">
        <f t="shared" si="0"/>
        <v>555</v>
      </c>
    </row>
    <row r="28" spans="1:7" x14ac:dyDescent="0.3">
      <c r="A28" s="19" t="s">
        <v>24</v>
      </c>
      <c r="B28" s="26" t="s">
        <v>2</v>
      </c>
      <c r="C28" s="19">
        <v>3</v>
      </c>
      <c r="D28" s="18" t="s">
        <v>14</v>
      </c>
      <c r="E28" s="18">
        <f>581-8</f>
        <v>573</v>
      </c>
      <c r="F28" s="21">
        <v>22</v>
      </c>
      <c r="G28" s="18">
        <f t="shared" si="0"/>
        <v>551</v>
      </c>
    </row>
    <row r="29" spans="1:7" x14ac:dyDescent="0.3">
      <c r="A29" s="22" t="s">
        <v>24</v>
      </c>
      <c r="B29" s="25" t="s">
        <v>3</v>
      </c>
      <c r="C29" s="22">
        <v>4</v>
      </c>
      <c r="D29" s="18" t="s">
        <v>14</v>
      </c>
      <c r="E29" s="48">
        <v>703</v>
      </c>
      <c r="F29" s="24">
        <v>27</v>
      </c>
      <c r="G29" s="18">
        <f t="shared" si="0"/>
        <v>676</v>
      </c>
    </row>
    <row r="30" spans="1:7" x14ac:dyDescent="0.3">
      <c r="A30" s="19" t="s">
        <v>24</v>
      </c>
      <c r="B30" s="26" t="s">
        <v>4</v>
      </c>
      <c r="C30" s="19">
        <v>5</v>
      </c>
      <c r="D30" s="18" t="s">
        <v>14</v>
      </c>
      <c r="E30" s="48">
        <v>720</v>
      </c>
      <c r="F30" s="21">
        <v>37</v>
      </c>
      <c r="G30" s="18">
        <f t="shared" si="0"/>
        <v>683</v>
      </c>
    </row>
    <row r="31" spans="1:7" x14ac:dyDescent="0.3">
      <c r="A31" s="22" t="s">
        <v>24</v>
      </c>
      <c r="B31" s="25" t="s">
        <v>5</v>
      </c>
      <c r="C31" s="22">
        <v>6</v>
      </c>
      <c r="D31" s="18" t="s">
        <v>14</v>
      </c>
      <c r="E31" s="56">
        <f>663-8</f>
        <v>655</v>
      </c>
      <c r="F31" s="24">
        <v>33</v>
      </c>
      <c r="G31" s="18">
        <f t="shared" si="0"/>
        <v>622</v>
      </c>
    </row>
    <row r="32" spans="1:7" x14ac:dyDescent="0.3">
      <c r="A32" s="19" t="s">
        <v>24</v>
      </c>
      <c r="B32" s="26" t="s">
        <v>6</v>
      </c>
      <c r="C32" s="19">
        <v>7</v>
      </c>
      <c r="D32" s="18" t="s">
        <v>14</v>
      </c>
      <c r="E32" s="48">
        <v>691</v>
      </c>
      <c r="F32" s="21">
        <v>39</v>
      </c>
      <c r="G32" s="18">
        <f t="shared" si="0"/>
        <v>652</v>
      </c>
    </row>
    <row r="33" spans="1:7" x14ac:dyDescent="0.3">
      <c r="A33" s="22" t="s">
        <v>24</v>
      </c>
      <c r="B33" s="25" t="s">
        <v>7</v>
      </c>
      <c r="C33" s="22">
        <v>8</v>
      </c>
      <c r="D33" s="18" t="s">
        <v>14</v>
      </c>
      <c r="E33" s="23">
        <f>532-9</f>
        <v>523</v>
      </c>
      <c r="F33" s="24">
        <v>36</v>
      </c>
      <c r="G33" s="18">
        <f t="shared" si="0"/>
        <v>487</v>
      </c>
    </row>
    <row r="34" spans="1:7" x14ac:dyDescent="0.3">
      <c r="A34" s="19" t="s">
        <v>24</v>
      </c>
      <c r="B34" s="26" t="s">
        <v>8</v>
      </c>
      <c r="C34" s="19">
        <v>9</v>
      </c>
      <c r="D34" s="18" t="s">
        <v>14</v>
      </c>
      <c r="E34" s="48">
        <f>695-9</f>
        <v>686</v>
      </c>
      <c r="F34" s="21">
        <v>48</v>
      </c>
      <c r="G34" s="18">
        <f t="shared" si="0"/>
        <v>638</v>
      </c>
    </row>
    <row r="35" spans="1:7" x14ac:dyDescent="0.3">
      <c r="A35" s="22" t="s">
        <v>24</v>
      </c>
      <c r="B35" s="25" t="s">
        <v>19</v>
      </c>
      <c r="C35" s="22">
        <v>10</v>
      </c>
      <c r="D35" s="18" t="s">
        <v>14</v>
      </c>
      <c r="E35" s="48">
        <v>682</v>
      </c>
      <c r="F35" s="24">
        <v>44</v>
      </c>
      <c r="G35" s="18">
        <f t="shared" si="0"/>
        <v>638</v>
      </c>
    </row>
    <row r="36" spans="1:7" x14ac:dyDescent="0.3">
      <c r="A36" s="19" t="s">
        <v>24</v>
      </c>
      <c r="B36" s="26" t="s">
        <v>21</v>
      </c>
      <c r="C36" s="19">
        <v>11</v>
      </c>
      <c r="D36" s="18" t="s">
        <v>14</v>
      </c>
      <c r="E36" s="18">
        <f>811-9</f>
        <v>802</v>
      </c>
      <c r="F36" s="21">
        <v>52</v>
      </c>
      <c r="G36" s="18">
        <f t="shared" si="0"/>
        <v>750</v>
      </c>
    </row>
    <row r="37" spans="1:7" x14ac:dyDescent="0.3">
      <c r="A37" s="22" t="s">
        <v>24</v>
      </c>
      <c r="B37" s="25" t="s">
        <v>20</v>
      </c>
      <c r="C37" s="22">
        <v>12</v>
      </c>
      <c r="D37" s="18" t="s">
        <v>14</v>
      </c>
      <c r="E37" s="48">
        <f>849
-17</f>
        <v>832</v>
      </c>
      <c r="F37" s="24">
        <v>50</v>
      </c>
      <c r="G37" s="18">
        <f t="shared" si="0"/>
        <v>782</v>
      </c>
    </row>
    <row r="38" spans="1:7" x14ac:dyDescent="0.3">
      <c r="A38" s="17" t="s">
        <v>25</v>
      </c>
      <c r="B38" s="26" t="s">
        <v>0</v>
      </c>
      <c r="C38" s="19">
        <v>1</v>
      </c>
      <c r="D38" s="18" t="s">
        <v>14</v>
      </c>
      <c r="E38" s="18">
        <f>768-11</f>
        <v>757</v>
      </c>
      <c r="F38" s="21">
        <v>48</v>
      </c>
      <c r="G38" s="18">
        <f t="shared" si="0"/>
        <v>709</v>
      </c>
    </row>
    <row r="39" spans="1:7" x14ac:dyDescent="0.3">
      <c r="A39" s="22" t="s">
        <v>25</v>
      </c>
      <c r="B39" s="25" t="s">
        <v>1</v>
      </c>
      <c r="C39" s="22">
        <v>2</v>
      </c>
      <c r="D39" s="18" t="s">
        <v>14</v>
      </c>
      <c r="E39" s="48">
        <v>619</v>
      </c>
      <c r="F39" s="24">
        <v>46</v>
      </c>
      <c r="G39" s="18">
        <f t="shared" si="0"/>
        <v>573</v>
      </c>
    </row>
    <row r="40" spans="1:7" x14ac:dyDescent="0.3">
      <c r="A40" s="19" t="s">
        <v>25</v>
      </c>
      <c r="B40" s="26" t="s">
        <v>2</v>
      </c>
      <c r="C40" s="19">
        <v>3</v>
      </c>
      <c r="D40" s="18" t="s">
        <v>14</v>
      </c>
      <c r="E40" s="18">
        <f>602-10</f>
        <v>592</v>
      </c>
      <c r="F40" s="21">
        <v>53</v>
      </c>
      <c r="G40" s="18">
        <f t="shared" si="0"/>
        <v>539</v>
      </c>
    </row>
    <row r="41" spans="1:7" x14ac:dyDescent="0.3">
      <c r="A41" s="22" t="s">
        <v>25</v>
      </c>
      <c r="B41" s="25" t="s">
        <v>3</v>
      </c>
      <c r="C41" s="22">
        <v>4</v>
      </c>
      <c r="D41" s="18" t="s">
        <v>14</v>
      </c>
      <c r="E41" s="48">
        <v>688</v>
      </c>
      <c r="F41" s="24">
        <v>40</v>
      </c>
      <c r="G41" s="18">
        <f t="shared" si="0"/>
        <v>648</v>
      </c>
    </row>
    <row r="42" spans="1:7" x14ac:dyDescent="0.3">
      <c r="A42" s="19" t="s">
        <v>25</v>
      </c>
      <c r="B42" s="26" t="s">
        <v>4</v>
      </c>
      <c r="C42" s="19">
        <v>5</v>
      </c>
      <c r="D42" s="18" t="s">
        <v>14</v>
      </c>
      <c r="E42" s="48">
        <v>629</v>
      </c>
      <c r="F42" s="21">
        <v>36</v>
      </c>
      <c r="G42" s="18">
        <f t="shared" si="0"/>
        <v>593</v>
      </c>
    </row>
    <row r="43" spans="1:7" x14ac:dyDescent="0.3">
      <c r="A43" s="22" t="s">
        <v>25</v>
      </c>
      <c r="B43" s="25" t="s">
        <v>5</v>
      </c>
      <c r="C43" s="22">
        <v>6</v>
      </c>
      <c r="D43" s="18" t="s">
        <v>14</v>
      </c>
      <c r="E43" s="56">
        <f>731-11</f>
        <v>720</v>
      </c>
      <c r="F43" s="24">
        <v>34</v>
      </c>
      <c r="G43" s="18">
        <f t="shared" si="0"/>
        <v>686</v>
      </c>
    </row>
    <row r="44" spans="1:7" x14ac:dyDescent="0.3">
      <c r="A44" s="19" t="s">
        <v>25</v>
      </c>
      <c r="B44" s="26" t="s">
        <v>6</v>
      </c>
      <c r="C44" s="19">
        <v>7</v>
      </c>
      <c r="D44" s="18" t="s">
        <v>14</v>
      </c>
      <c r="E44" s="48">
        <v>566</v>
      </c>
      <c r="F44" s="21">
        <v>29</v>
      </c>
      <c r="G44" s="18">
        <f t="shared" si="0"/>
        <v>537</v>
      </c>
    </row>
    <row r="45" spans="1:7" x14ac:dyDescent="0.3">
      <c r="A45" s="22" t="s">
        <v>25</v>
      </c>
      <c r="B45" s="25" t="s">
        <v>7</v>
      </c>
      <c r="C45" s="22">
        <v>8</v>
      </c>
      <c r="D45" s="18" t="s">
        <v>14</v>
      </c>
      <c r="E45" s="56">
        <f>578-9</f>
        <v>569</v>
      </c>
      <c r="F45" s="24">
        <v>20</v>
      </c>
      <c r="G45" s="18">
        <f t="shared" si="0"/>
        <v>549</v>
      </c>
    </row>
    <row r="46" spans="1:7" x14ac:dyDescent="0.3">
      <c r="A46" s="19" t="s">
        <v>25</v>
      </c>
      <c r="B46" s="26" t="s">
        <v>8</v>
      </c>
      <c r="C46" s="19">
        <v>9</v>
      </c>
      <c r="D46" s="18" t="s">
        <v>14</v>
      </c>
      <c r="E46" s="48">
        <v>584</v>
      </c>
      <c r="F46" s="21">
        <v>40</v>
      </c>
      <c r="G46" s="18">
        <f t="shared" si="0"/>
        <v>544</v>
      </c>
    </row>
    <row r="47" spans="1:7" x14ac:dyDescent="0.3">
      <c r="A47" s="22" t="s">
        <v>25</v>
      </c>
      <c r="B47" s="25" t="s">
        <v>19</v>
      </c>
      <c r="C47" s="22">
        <v>10</v>
      </c>
      <c r="D47" s="18" t="s">
        <v>14</v>
      </c>
      <c r="E47" s="48">
        <f>569
-13</f>
        <v>556</v>
      </c>
      <c r="F47" s="24">
        <v>38</v>
      </c>
      <c r="G47" s="18">
        <f t="shared" si="0"/>
        <v>518</v>
      </c>
    </row>
    <row r="48" spans="1:7" x14ac:dyDescent="0.3">
      <c r="A48" s="19" t="s">
        <v>25</v>
      </c>
      <c r="B48" s="26" t="s">
        <v>21</v>
      </c>
      <c r="C48" s="19">
        <v>11</v>
      </c>
      <c r="D48" s="18" t="s">
        <v>14</v>
      </c>
      <c r="E48" s="18">
        <v>625</v>
      </c>
      <c r="F48" s="21">
        <v>45</v>
      </c>
      <c r="G48" s="18">
        <f t="shared" si="0"/>
        <v>580</v>
      </c>
    </row>
    <row r="49" spans="1:7" x14ac:dyDescent="0.3">
      <c r="A49" s="22" t="s">
        <v>25</v>
      </c>
      <c r="B49" s="25" t="s">
        <v>20</v>
      </c>
      <c r="C49" s="22">
        <v>12</v>
      </c>
      <c r="D49" s="18" t="s">
        <v>14</v>
      </c>
      <c r="E49" s="48">
        <v>681</v>
      </c>
      <c r="F49" s="24">
        <v>57</v>
      </c>
      <c r="G49" s="18">
        <f t="shared" si="0"/>
        <v>624</v>
      </c>
    </row>
    <row r="50" spans="1:7" x14ac:dyDescent="0.3">
      <c r="A50" s="17" t="s">
        <v>26</v>
      </c>
      <c r="B50" s="26" t="s">
        <v>0</v>
      </c>
      <c r="C50" s="19">
        <v>1</v>
      </c>
      <c r="D50" s="18" t="s">
        <v>14</v>
      </c>
      <c r="E50" s="18">
        <f>565-6</f>
        <v>559</v>
      </c>
      <c r="F50" s="21">
        <v>37</v>
      </c>
      <c r="G50" s="18">
        <f t="shared" si="0"/>
        <v>522</v>
      </c>
    </row>
    <row r="51" spans="1:7" x14ac:dyDescent="0.3">
      <c r="A51" s="22" t="s">
        <v>26</v>
      </c>
      <c r="B51" s="25" t="s">
        <v>1</v>
      </c>
      <c r="C51" s="22">
        <v>2</v>
      </c>
      <c r="D51" s="18" t="s">
        <v>14</v>
      </c>
      <c r="E51" s="48">
        <v>583</v>
      </c>
      <c r="F51" s="24">
        <v>51</v>
      </c>
      <c r="G51" s="18">
        <f t="shared" si="0"/>
        <v>532</v>
      </c>
    </row>
    <row r="52" spans="1:7" x14ac:dyDescent="0.3">
      <c r="A52" s="19" t="s">
        <v>26</v>
      </c>
      <c r="B52" s="26" t="s">
        <v>2</v>
      </c>
      <c r="C52" s="19">
        <v>3</v>
      </c>
      <c r="D52" s="18" t="s">
        <v>14</v>
      </c>
      <c r="E52" s="18">
        <v>514</v>
      </c>
      <c r="F52" s="21">
        <v>32</v>
      </c>
      <c r="G52" s="18">
        <f t="shared" si="0"/>
        <v>482</v>
      </c>
    </row>
    <row r="53" spans="1:7" x14ac:dyDescent="0.3">
      <c r="A53" s="22" t="s">
        <v>26</v>
      </c>
      <c r="B53" s="25" t="s">
        <v>3</v>
      </c>
      <c r="C53" s="22">
        <v>4</v>
      </c>
      <c r="D53" s="18" t="s">
        <v>14</v>
      </c>
      <c r="E53" s="48">
        <v>712</v>
      </c>
      <c r="F53" s="24">
        <v>29</v>
      </c>
      <c r="G53" s="18">
        <f t="shared" si="0"/>
        <v>683</v>
      </c>
    </row>
    <row r="54" spans="1:7" x14ac:dyDescent="0.3">
      <c r="A54" s="19" t="s">
        <v>26</v>
      </c>
      <c r="B54" s="26" t="s">
        <v>4</v>
      </c>
      <c r="C54" s="19">
        <v>5</v>
      </c>
      <c r="D54" s="18" t="s">
        <v>14</v>
      </c>
      <c r="E54" s="48">
        <v>519</v>
      </c>
      <c r="F54" s="21">
        <v>19</v>
      </c>
      <c r="G54" s="18">
        <f t="shared" si="0"/>
        <v>500</v>
      </c>
    </row>
    <row r="55" spans="1:7" x14ac:dyDescent="0.3">
      <c r="A55" s="22" t="s">
        <v>26</v>
      </c>
      <c r="B55" s="25" t="s">
        <v>5</v>
      </c>
      <c r="C55" s="22">
        <v>6</v>
      </c>
      <c r="D55" s="18" t="s">
        <v>14</v>
      </c>
      <c r="E55" s="56">
        <v>631</v>
      </c>
      <c r="F55" s="24">
        <v>44</v>
      </c>
      <c r="G55" s="18">
        <f t="shared" si="0"/>
        <v>587</v>
      </c>
    </row>
    <row r="56" spans="1:7" x14ac:dyDescent="0.3">
      <c r="A56" s="19" t="s">
        <v>26</v>
      </c>
      <c r="B56" s="26" t="s">
        <v>6</v>
      </c>
      <c r="C56" s="19">
        <v>7</v>
      </c>
      <c r="D56" s="18" t="s">
        <v>14</v>
      </c>
      <c r="E56" s="48">
        <v>446</v>
      </c>
      <c r="F56" s="21">
        <v>29</v>
      </c>
      <c r="G56" s="18">
        <f t="shared" si="0"/>
        <v>417</v>
      </c>
    </row>
    <row r="57" spans="1:7" x14ac:dyDescent="0.3">
      <c r="A57" s="22" t="s">
        <v>26</v>
      </c>
      <c r="B57" s="25" t="s">
        <v>7</v>
      </c>
      <c r="C57" s="22">
        <v>8</v>
      </c>
      <c r="D57" s="18" t="s">
        <v>14</v>
      </c>
      <c r="E57" s="56">
        <v>543</v>
      </c>
      <c r="F57" s="24">
        <v>31</v>
      </c>
      <c r="G57" s="18">
        <f t="shared" si="0"/>
        <v>512</v>
      </c>
    </row>
    <row r="58" spans="1:7" x14ac:dyDescent="0.3">
      <c r="A58" s="19" t="s">
        <v>26</v>
      </c>
      <c r="B58" s="26" t="s">
        <v>8</v>
      </c>
      <c r="C58" s="19">
        <v>9</v>
      </c>
      <c r="D58" s="18" t="s">
        <v>14</v>
      </c>
      <c r="E58" s="48">
        <v>672</v>
      </c>
      <c r="F58" s="21">
        <v>41</v>
      </c>
      <c r="G58" s="18">
        <f t="shared" si="0"/>
        <v>631</v>
      </c>
    </row>
    <row r="59" spans="1:7" x14ac:dyDescent="0.3">
      <c r="A59" s="22" t="s">
        <v>26</v>
      </c>
      <c r="B59" s="25" t="s">
        <v>19</v>
      </c>
      <c r="C59" s="22">
        <v>10</v>
      </c>
      <c r="D59" s="18" t="s">
        <v>14</v>
      </c>
      <c r="E59" s="48">
        <v>563</v>
      </c>
      <c r="F59" s="24">
        <v>36</v>
      </c>
      <c r="G59" s="18">
        <f t="shared" si="0"/>
        <v>527</v>
      </c>
    </row>
    <row r="60" spans="1:7" x14ac:dyDescent="0.3">
      <c r="A60" s="19" t="s">
        <v>26</v>
      </c>
      <c r="B60" s="26" t="s">
        <v>21</v>
      </c>
      <c r="C60" s="19">
        <v>11</v>
      </c>
      <c r="D60" s="18" t="s">
        <v>14</v>
      </c>
      <c r="E60" s="18">
        <f>617-12</f>
        <v>605</v>
      </c>
      <c r="F60" s="21">
        <v>46</v>
      </c>
      <c r="G60" s="18">
        <f t="shared" si="0"/>
        <v>559</v>
      </c>
    </row>
    <row r="61" spans="1:7" x14ac:dyDescent="0.3">
      <c r="A61" s="22" t="s">
        <v>26</v>
      </c>
      <c r="B61" s="25" t="s">
        <v>20</v>
      </c>
      <c r="C61" s="22">
        <v>12</v>
      </c>
      <c r="D61" s="18" t="s">
        <v>14</v>
      </c>
      <c r="E61" s="48">
        <v>587</v>
      </c>
      <c r="F61" s="24">
        <v>54</v>
      </c>
      <c r="G61" s="18">
        <f t="shared" si="0"/>
        <v>533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6760E-B7AE-40E1-8EC0-7C90A0802569}">
  <dimension ref="A2:I59"/>
  <sheetViews>
    <sheetView topLeftCell="A34" workbookViewId="0">
      <selection activeCell="G46" sqref="G46"/>
    </sheetView>
  </sheetViews>
  <sheetFormatPr defaultRowHeight="14.4" x14ac:dyDescent="0.3"/>
  <cols>
    <col min="1" max="1" width="12.5546875" bestFit="1" customWidth="1"/>
    <col min="2" max="2" width="9.44140625" bestFit="1" customWidth="1"/>
    <col min="3" max="3" width="13.33203125" bestFit="1" customWidth="1"/>
    <col min="4" max="4" width="12.5546875" bestFit="1" customWidth="1"/>
    <col min="5" max="5" width="11.33203125" bestFit="1" customWidth="1"/>
    <col min="7" max="7" width="13.77734375" bestFit="1" customWidth="1"/>
    <col min="8" max="8" width="10.5546875" bestFit="1" customWidth="1"/>
    <col min="9" max="9" width="14.44140625" bestFit="1" customWidth="1"/>
  </cols>
  <sheetData>
    <row r="2" spans="1:9" x14ac:dyDescent="0.3">
      <c r="A2" s="10" t="s">
        <v>28</v>
      </c>
      <c r="B2" t="s">
        <v>37</v>
      </c>
      <c r="C2" t="s">
        <v>43</v>
      </c>
      <c r="G2" s="10" t="s">
        <v>28</v>
      </c>
      <c r="H2" t="s">
        <v>48</v>
      </c>
      <c r="I2" t="s">
        <v>49</v>
      </c>
    </row>
    <row r="3" spans="1:9" x14ac:dyDescent="0.3">
      <c r="A3" s="11" t="s">
        <v>22</v>
      </c>
      <c r="B3">
        <v>329</v>
      </c>
      <c r="C3">
        <v>6933</v>
      </c>
      <c r="G3" s="11">
        <v>1</v>
      </c>
      <c r="H3">
        <v>162</v>
      </c>
      <c r="I3">
        <v>2813</v>
      </c>
    </row>
    <row r="4" spans="1:9" x14ac:dyDescent="0.3">
      <c r="A4" s="11" t="s">
        <v>23</v>
      </c>
      <c r="B4">
        <v>388</v>
      </c>
      <c r="C4">
        <v>7592</v>
      </c>
      <c r="G4" s="12" t="s">
        <v>0</v>
      </c>
      <c r="H4">
        <v>162</v>
      </c>
      <c r="I4">
        <v>2813</v>
      </c>
    </row>
    <row r="5" spans="1:9" x14ac:dyDescent="0.3">
      <c r="A5" s="11" t="s">
        <v>24</v>
      </c>
      <c r="B5">
        <v>446</v>
      </c>
      <c r="C5">
        <v>7643</v>
      </c>
      <c r="G5" s="11">
        <v>2</v>
      </c>
      <c r="H5">
        <v>178</v>
      </c>
      <c r="I5">
        <v>2654</v>
      </c>
    </row>
    <row r="6" spans="1:9" x14ac:dyDescent="0.3">
      <c r="A6" s="11" t="s">
        <v>25</v>
      </c>
      <c r="B6">
        <v>486</v>
      </c>
      <c r="C6">
        <v>7100</v>
      </c>
      <c r="G6" s="12" t="s">
        <v>1</v>
      </c>
      <c r="H6">
        <v>178</v>
      </c>
      <c r="I6">
        <v>2654</v>
      </c>
    </row>
    <row r="7" spans="1:9" x14ac:dyDescent="0.3">
      <c r="A7" s="11" t="s">
        <v>26</v>
      </c>
      <c r="B7">
        <v>449</v>
      </c>
      <c r="C7">
        <v>6485</v>
      </c>
      <c r="G7" s="11">
        <v>3</v>
      </c>
      <c r="H7">
        <v>169</v>
      </c>
      <c r="I7">
        <v>2816</v>
      </c>
    </row>
    <row r="8" spans="1:9" x14ac:dyDescent="0.3">
      <c r="A8" s="11" t="s">
        <v>29</v>
      </c>
      <c r="B8">
        <v>2098</v>
      </c>
      <c r="C8">
        <v>35753</v>
      </c>
      <c r="G8" s="12" t="s">
        <v>2</v>
      </c>
      <c r="H8">
        <v>169</v>
      </c>
      <c r="I8">
        <v>2816</v>
      </c>
    </row>
    <row r="9" spans="1:9" x14ac:dyDescent="0.3">
      <c r="G9" s="11">
        <v>4</v>
      </c>
      <c r="H9">
        <v>152</v>
      </c>
      <c r="I9">
        <v>3385</v>
      </c>
    </row>
    <row r="10" spans="1:9" x14ac:dyDescent="0.3">
      <c r="G10" s="12" t="s">
        <v>3</v>
      </c>
      <c r="H10">
        <v>152</v>
      </c>
      <c r="I10">
        <v>3385</v>
      </c>
    </row>
    <row r="11" spans="1:9" x14ac:dyDescent="0.3">
      <c r="G11" s="11">
        <v>5</v>
      </c>
      <c r="H11">
        <v>141</v>
      </c>
      <c r="I11">
        <v>2960</v>
      </c>
    </row>
    <row r="12" spans="1:9" x14ac:dyDescent="0.3">
      <c r="G12" s="12" t="s">
        <v>4</v>
      </c>
      <c r="H12">
        <v>141</v>
      </c>
      <c r="I12">
        <v>2960</v>
      </c>
    </row>
    <row r="13" spans="1:9" x14ac:dyDescent="0.3">
      <c r="G13" s="11">
        <v>6</v>
      </c>
      <c r="H13">
        <v>161</v>
      </c>
      <c r="I13">
        <v>3281</v>
      </c>
    </row>
    <row r="14" spans="1:9" x14ac:dyDescent="0.3">
      <c r="G14" s="12" t="s">
        <v>5</v>
      </c>
      <c r="H14">
        <v>161</v>
      </c>
      <c r="I14">
        <v>3281</v>
      </c>
    </row>
    <row r="15" spans="1:9" x14ac:dyDescent="0.3">
      <c r="G15" s="11">
        <v>7</v>
      </c>
      <c r="H15">
        <v>153</v>
      </c>
      <c r="I15">
        <v>2700</v>
      </c>
    </row>
    <row r="16" spans="1:9" x14ac:dyDescent="0.3">
      <c r="G16" s="12" t="s">
        <v>6</v>
      </c>
      <c r="H16">
        <v>153</v>
      </c>
      <c r="I16">
        <v>2700</v>
      </c>
    </row>
    <row r="17" spans="7:9" x14ac:dyDescent="0.3">
      <c r="G17" s="11">
        <v>8</v>
      </c>
      <c r="H17">
        <v>150</v>
      </c>
      <c r="I17">
        <v>2818</v>
      </c>
    </row>
    <row r="18" spans="7:9" x14ac:dyDescent="0.3">
      <c r="G18" s="12" t="s">
        <v>7</v>
      </c>
      <c r="H18">
        <v>150</v>
      </c>
      <c r="I18">
        <v>2818</v>
      </c>
    </row>
    <row r="19" spans="7:9" x14ac:dyDescent="0.3">
      <c r="G19" s="11">
        <v>9</v>
      </c>
      <c r="H19">
        <v>201</v>
      </c>
      <c r="I19">
        <v>3029</v>
      </c>
    </row>
    <row r="20" spans="7:9" x14ac:dyDescent="0.3">
      <c r="G20" s="12" t="s">
        <v>8</v>
      </c>
      <c r="H20">
        <v>201</v>
      </c>
      <c r="I20">
        <v>3029</v>
      </c>
    </row>
    <row r="21" spans="7:9" x14ac:dyDescent="0.3">
      <c r="G21" s="11">
        <v>10</v>
      </c>
      <c r="H21">
        <v>163</v>
      </c>
      <c r="I21">
        <v>2764</v>
      </c>
    </row>
    <row r="22" spans="7:9" x14ac:dyDescent="0.3">
      <c r="G22" s="12" t="s">
        <v>19</v>
      </c>
      <c r="H22">
        <v>163</v>
      </c>
      <c r="I22">
        <v>2764</v>
      </c>
    </row>
    <row r="23" spans="7:9" x14ac:dyDescent="0.3">
      <c r="G23" s="11">
        <v>11</v>
      </c>
      <c r="H23">
        <v>216</v>
      </c>
      <c r="I23">
        <v>3181</v>
      </c>
    </row>
    <row r="24" spans="7:9" x14ac:dyDescent="0.3">
      <c r="G24" s="12" t="s">
        <v>21</v>
      </c>
      <c r="H24">
        <v>216</v>
      </c>
      <c r="I24">
        <v>3181</v>
      </c>
    </row>
    <row r="25" spans="7:9" x14ac:dyDescent="0.3">
      <c r="G25" s="11">
        <v>12</v>
      </c>
      <c r="H25">
        <v>252</v>
      </c>
      <c r="I25">
        <v>3352</v>
      </c>
    </row>
    <row r="26" spans="7:9" x14ac:dyDescent="0.3">
      <c r="G26" s="12" t="s">
        <v>20</v>
      </c>
      <c r="H26">
        <v>252</v>
      </c>
      <c r="I26">
        <v>3352</v>
      </c>
    </row>
    <row r="27" spans="7:9" x14ac:dyDescent="0.3">
      <c r="G27" s="11" t="s">
        <v>29</v>
      </c>
      <c r="H27">
        <v>2098</v>
      </c>
      <c r="I27">
        <v>35753</v>
      </c>
    </row>
    <row r="44" spans="3:5" x14ac:dyDescent="0.3">
      <c r="C44" t="s">
        <v>44</v>
      </c>
      <c r="D44" t="s">
        <v>45</v>
      </c>
      <c r="E44" t="s">
        <v>46</v>
      </c>
    </row>
    <row r="45" spans="3:5" x14ac:dyDescent="0.3">
      <c r="C45" s="11" t="s">
        <v>22</v>
      </c>
      <c r="D45" t="s">
        <v>35</v>
      </c>
      <c r="E45">
        <v>329</v>
      </c>
    </row>
    <row r="46" spans="3:5" x14ac:dyDescent="0.3">
      <c r="C46" s="11" t="s">
        <v>22</v>
      </c>
      <c r="D46" t="s">
        <v>36</v>
      </c>
      <c r="E46">
        <v>6933</v>
      </c>
    </row>
    <row r="47" spans="3:5" x14ac:dyDescent="0.3">
      <c r="C47" s="11" t="s">
        <v>23</v>
      </c>
      <c r="D47" t="s">
        <v>35</v>
      </c>
      <c r="E47">
        <v>388</v>
      </c>
    </row>
    <row r="48" spans="3:5" x14ac:dyDescent="0.3">
      <c r="C48" s="11" t="s">
        <v>23</v>
      </c>
      <c r="D48" t="s">
        <v>36</v>
      </c>
      <c r="E48">
        <v>7592</v>
      </c>
    </row>
    <row r="49" spans="3:5" x14ac:dyDescent="0.3">
      <c r="C49" s="11" t="s">
        <v>24</v>
      </c>
      <c r="D49" t="s">
        <v>35</v>
      </c>
      <c r="E49">
        <v>446</v>
      </c>
    </row>
    <row r="50" spans="3:5" x14ac:dyDescent="0.3">
      <c r="C50" s="11" t="s">
        <v>24</v>
      </c>
      <c r="D50" t="s">
        <v>36</v>
      </c>
      <c r="E50">
        <v>7643</v>
      </c>
    </row>
    <row r="51" spans="3:5" x14ac:dyDescent="0.3">
      <c r="C51" s="11" t="s">
        <v>25</v>
      </c>
      <c r="D51" t="s">
        <v>35</v>
      </c>
      <c r="E51">
        <v>486</v>
      </c>
    </row>
    <row r="52" spans="3:5" x14ac:dyDescent="0.3">
      <c r="C52" s="11" t="s">
        <v>25</v>
      </c>
      <c r="D52" t="s">
        <v>36</v>
      </c>
      <c r="E52">
        <v>7100</v>
      </c>
    </row>
    <row r="53" spans="3:5" x14ac:dyDescent="0.3">
      <c r="C53" s="11" t="s">
        <v>26</v>
      </c>
      <c r="D53" t="s">
        <v>35</v>
      </c>
      <c r="E53">
        <v>449</v>
      </c>
    </row>
    <row r="54" spans="3:5" x14ac:dyDescent="0.3">
      <c r="C54" s="11" t="s">
        <v>26</v>
      </c>
      <c r="D54" t="s">
        <v>36</v>
      </c>
      <c r="E54">
        <v>6485</v>
      </c>
    </row>
    <row r="56" spans="3:5" x14ac:dyDescent="0.3">
      <c r="D56" s="10" t="s">
        <v>28</v>
      </c>
      <c r="E56" t="s">
        <v>47</v>
      </c>
    </row>
    <row r="57" spans="3:5" x14ac:dyDescent="0.3">
      <c r="D57" s="11" t="s">
        <v>35</v>
      </c>
      <c r="E57">
        <v>2098</v>
      </c>
    </row>
    <row r="58" spans="3:5" x14ac:dyDescent="0.3">
      <c r="D58" s="11" t="s">
        <v>36</v>
      </c>
      <c r="E58">
        <v>35753</v>
      </c>
    </row>
    <row r="59" spans="3:5" x14ac:dyDescent="0.3">
      <c r="D59" s="11" t="s">
        <v>29</v>
      </c>
      <c r="E59">
        <v>37851</v>
      </c>
    </row>
  </sheetData>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4C27C-8FD8-4E92-854D-9D6C0C5347FD}">
  <dimension ref="A1"/>
  <sheetViews>
    <sheetView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3AFB8-91AD-4079-B6E1-6847A44CB4C0}">
  <dimension ref="A1:G61"/>
  <sheetViews>
    <sheetView workbookViewId="0">
      <selection activeCell="J23" sqref="J23"/>
    </sheetView>
  </sheetViews>
  <sheetFormatPr defaultRowHeight="14.4" x14ac:dyDescent="0.3"/>
  <sheetData>
    <row r="1" spans="1:7" ht="15" thickBot="1" x14ac:dyDescent="0.35">
      <c r="A1" s="14" t="s">
        <v>32</v>
      </c>
      <c r="B1" s="15" t="s">
        <v>27</v>
      </c>
      <c r="C1" s="14" t="s">
        <v>30</v>
      </c>
      <c r="D1" s="15" t="s">
        <v>33</v>
      </c>
      <c r="E1" s="15" t="s">
        <v>34</v>
      </c>
      <c r="F1" s="14" t="s">
        <v>35</v>
      </c>
      <c r="G1" s="16" t="s">
        <v>36</v>
      </c>
    </row>
    <row r="2" spans="1:7" ht="15" thickTop="1" x14ac:dyDescent="0.3">
      <c r="A2" s="29" t="s">
        <v>22</v>
      </c>
      <c r="B2" s="30" t="s">
        <v>0</v>
      </c>
      <c r="C2" s="31">
        <v>1</v>
      </c>
      <c r="D2" s="20" t="s">
        <v>13</v>
      </c>
      <c r="E2" s="1">
        <f>287-7</f>
        <v>280</v>
      </c>
      <c r="F2" s="18">
        <f>9+10+2</f>
        <v>21</v>
      </c>
      <c r="G2" s="18">
        <f>E2-F2</f>
        <v>259</v>
      </c>
    </row>
    <row r="3" spans="1:7" x14ac:dyDescent="0.3">
      <c r="A3" s="22" t="s">
        <v>22</v>
      </c>
      <c r="B3" s="25" t="s">
        <v>1</v>
      </c>
      <c r="C3" s="22">
        <v>2</v>
      </c>
      <c r="D3" s="18" t="s">
        <v>13</v>
      </c>
      <c r="E3" s="48">
        <v>260</v>
      </c>
      <c r="F3" s="23">
        <v>43</v>
      </c>
      <c r="G3" s="18">
        <f t="shared" ref="G3:G61" si="0">E3-F3</f>
        <v>217</v>
      </c>
    </row>
    <row r="4" spans="1:7" x14ac:dyDescent="0.3">
      <c r="A4" s="19" t="s">
        <v>22</v>
      </c>
      <c r="B4" s="26" t="s">
        <v>2</v>
      </c>
      <c r="C4" s="19">
        <v>3</v>
      </c>
      <c r="D4" s="18" t="s">
        <v>13</v>
      </c>
      <c r="E4" s="1">
        <f>428-4</f>
        <v>424</v>
      </c>
      <c r="F4" s="18">
        <f>29+23+4+6+1+1+1+1</f>
        <v>66</v>
      </c>
      <c r="G4" s="18">
        <f t="shared" si="0"/>
        <v>358</v>
      </c>
    </row>
    <row r="5" spans="1:7" x14ac:dyDescent="0.3">
      <c r="A5" s="22" t="s">
        <v>22</v>
      </c>
      <c r="B5" s="25" t="s">
        <v>3</v>
      </c>
      <c r="C5" s="22">
        <v>4</v>
      </c>
      <c r="D5" s="18" t="s">
        <v>13</v>
      </c>
      <c r="E5" s="48">
        <f>469-8</f>
        <v>461</v>
      </c>
      <c r="F5" s="23">
        <v>65</v>
      </c>
      <c r="G5" s="18">
        <f t="shared" si="0"/>
        <v>396</v>
      </c>
    </row>
    <row r="6" spans="1:7" x14ac:dyDescent="0.3">
      <c r="A6" s="19" t="s">
        <v>22</v>
      </c>
      <c r="B6" s="26" t="s">
        <v>4</v>
      </c>
      <c r="C6" s="19">
        <v>5</v>
      </c>
      <c r="D6" s="18" t="s">
        <v>13</v>
      </c>
      <c r="E6" s="48">
        <v>395</v>
      </c>
      <c r="F6" s="18">
        <f>27+22+6+5+1+1+2</f>
        <v>64</v>
      </c>
      <c r="G6" s="18">
        <f t="shared" si="0"/>
        <v>331</v>
      </c>
    </row>
    <row r="7" spans="1:7" x14ac:dyDescent="0.3">
      <c r="A7" s="22" t="s">
        <v>22</v>
      </c>
      <c r="B7" s="25" t="s">
        <v>5</v>
      </c>
      <c r="C7" s="22">
        <v>6</v>
      </c>
      <c r="D7" s="18" t="s">
        <v>13</v>
      </c>
      <c r="E7" s="1">
        <f>407-6</f>
        <v>401</v>
      </c>
      <c r="F7" s="23">
        <f>25+10+11+7+1</f>
        <v>54</v>
      </c>
      <c r="G7" s="18">
        <f t="shared" si="0"/>
        <v>347</v>
      </c>
    </row>
    <row r="8" spans="1:7" x14ac:dyDescent="0.3">
      <c r="A8" s="19" t="s">
        <v>22</v>
      </c>
      <c r="B8" s="26" t="s">
        <v>6</v>
      </c>
      <c r="C8" s="19">
        <v>7</v>
      </c>
      <c r="D8" s="18" t="s">
        <v>13</v>
      </c>
      <c r="E8" s="48">
        <f>413
-6</f>
        <v>407</v>
      </c>
      <c r="F8" s="18">
        <f>19+21+7+5+1</f>
        <v>53</v>
      </c>
      <c r="G8" s="18">
        <f t="shared" si="0"/>
        <v>354</v>
      </c>
    </row>
    <row r="9" spans="1:7" x14ac:dyDescent="0.3">
      <c r="A9" s="22" t="s">
        <v>22</v>
      </c>
      <c r="B9" s="25" t="s">
        <v>7</v>
      </c>
      <c r="C9" s="22">
        <v>8</v>
      </c>
      <c r="D9" s="18" t="s">
        <v>13</v>
      </c>
      <c r="E9" s="1">
        <v>371</v>
      </c>
      <c r="F9" s="23">
        <f>22+9+2+1+1</f>
        <v>35</v>
      </c>
      <c r="G9" s="18">
        <f t="shared" si="0"/>
        <v>336</v>
      </c>
    </row>
    <row r="10" spans="1:7" x14ac:dyDescent="0.3">
      <c r="A10" s="19" t="s">
        <v>22</v>
      </c>
      <c r="B10" s="26" t="s">
        <v>8</v>
      </c>
      <c r="C10" s="19">
        <v>9</v>
      </c>
      <c r="D10" s="18" t="s">
        <v>13</v>
      </c>
      <c r="E10" s="48">
        <f>447
-5</f>
        <v>442</v>
      </c>
      <c r="F10" s="18">
        <v>40</v>
      </c>
      <c r="G10" s="18">
        <f t="shared" si="0"/>
        <v>402</v>
      </c>
    </row>
    <row r="11" spans="1:7" x14ac:dyDescent="0.3">
      <c r="A11" s="22" t="s">
        <v>22</v>
      </c>
      <c r="B11" s="25" t="s">
        <v>19</v>
      </c>
      <c r="C11" s="22">
        <v>10</v>
      </c>
      <c r="D11" s="18" t="s">
        <v>13</v>
      </c>
      <c r="E11" s="48">
        <v>330</v>
      </c>
      <c r="F11" s="25">
        <v>39</v>
      </c>
      <c r="G11" s="18">
        <f t="shared" si="0"/>
        <v>291</v>
      </c>
    </row>
    <row r="12" spans="1:7" x14ac:dyDescent="0.3">
      <c r="A12" s="19" t="s">
        <v>22</v>
      </c>
      <c r="B12" s="26" t="s">
        <v>21</v>
      </c>
      <c r="C12" s="19">
        <v>11</v>
      </c>
      <c r="D12" s="18" t="s">
        <v>13</v>
      </c>
      <c r="E12" s="1">
        <v>400</v>
      </c>
      <c r="F12" s="26">
        <f>27+11+4+4</f>
        <v>46</v>
      </c>
      <c r="G12" s="18">
        <f t="shared" si="0"/>
        <v>354</v>
      </c>
    </row>
    <row r="13" spans="1:7" x14ac:dyDescent="0.3">
      <c r="A13" s="22" t="s">
        <v>22</v>
      </c>
      <c r="B13" s="25" t="s">
        <v>20</v>
      </c>
      <c r="C13" s="22">
        <v>12</v>
      </c>
      <c r="D13" s="18" t="s">
        <v>13</v>
      </c>
      <c r="E13" s="48">
        <v>536</v>
      </c>
      <c r="F13" s="27">
        <v>75</v>
      </c>
      <c r="G13" s="18">
        <f t="shared" si="0"/>
        <v>461</v>
      </c>
    </row>
    <row r="14" spans="1:7" x14ac:dyDescent="0.3">
      <c r="A14" s="17" t="s">
        <v>23</v>
      </c>
      <c r="B14" s="26" t="s">
        <v>0</v>
      </c>
      <c r="C14" s="19">
        <v>1</v>
      </c>
      <c r="D14" s="18" t="s">
        <v>13</v>
      </c>
      <c r="E14" s="1">
        <f>428-5</f>
        <v>423</v>
      </c>
      <c r="F14" s="18">
        <f>29+22+9+14+1</f>
        <v>75</v>
      </c>
      <c r="G14" s="18">
        <f t="shared" si="0"/>
        <v>348</v>
      </c>
    </row>
    <row r="15" spans="1:7" x14ac:dyDescent="0.3">
      <c r="A15" s="22" t="s">
        <v>23</v>
      </c>
      <c r="B15" s="25" t="s">
        <v>1</v>
      </c>
      <c r="C15" s="22">
        <v>2</v>
      </c>
      <c r="D15" s="18" t="s">
        <v>13</v>
      </c>
      <c r="E15" s="48">
        <v>443</v>
      </c>
      <c r="F15" s="23">
        <v>50</v>
      </c>
      <c r="G15" s="18">
        <f t="shared" si="0"/>
        <v>393</v>
      </c>
    </row>
    <row r="16" spans="1:7" x14ac:dyDescent="0.3">
      <c r="A16" s="19" t="s">
        <v>23</v>
      </c>
      <c r="B16" s="26" t="s">
        <v>2</v>
      </c>
      <c r="C16" s="19">
        <v>3</v>
      </c>
      <c r="D16" s="18" t="s">
        <v>13</v>
      </c>
      <c r="E16" s="1">
        <f>382-4</f>
        <v>378</v>
      </c>
      <c r="F16" s="21">
        <f>28+13+8+9+1</f>
        <v>59</v>
      </c>
      <c r="G16" s="18">
        <f t="shared" si="0"/>
        <v>319</v>
      </c>
    </row>
    <row r="17" spans="1:7" x14ac:dyDescent="0.3">
      <c r="A17" s="22" t="s">
        <v>23</v>
      </c>
      <c r="B17" s="25" t="s">
        <v>3</v>
      </c>
      <c r="C17" s="22">
        <v>4</v>
      </c>
      <c r="D17" s="18" t="s">
        <v>13</v>
      </c>
      <c r="E17" s="48">
        <v>248</v>
      </c>
      <c r="F17" s="58">
        <f>23+11+2+5</f>
        <v>41</v>
      </c>
      <c r="G17" s="18">
        <f t="shared" si="0"/>
        <v>207</v>
      </c>
    </row>
    <row r="18" spans="1:7" x14ac:dyDescent="0.3">
      <c r="A18" s="19" t="s">
        <v>23</v>
      </c>
      <c r="B18" s="26" t="s">
        <v>4</v>
      </c>
      <c r="C18" s="19">
        <v>5</v>
      </c>
      <c r="D18" s="18" t="s">
        <v>13</v>
      </c>
      <c r="E18" s="48">
        <v>305</v>
      </c>
      <c r="F18" s="21">
        <f>19+15+4+5</f>
        <v>43</v>
      </c>
      <c r="G18" s="18">
        <f t="shared" si="0"/>
        <v>262</v>
      </c>
    </row>
    <row r="19" spans="1:7" x14ac:dyDescent="0.3">
      <c r="A19" s="22" t="s">
        <v>23</v>
      </c>
      <c r="B19" s="25" t="s">
        <v>5</v>
      </c>
      <c r="C19" s="22">
        <v>6</v>
      </c>
      <c r="D19" s="18" t="s">
        <v>13</v>
      </c>
      <c r="E19" s="1">
        <v>437</v>
      </c>
      <c r="F19" s="24">
        <f>27+28+3+4+2</f>
        <v>64</v>
      </c>
      <c r="G19" s="18">
        <f t="shared" si="0"/>
        <v>373</v>
      </c>
    </row>
    <row r="20" spans="1:7" x14ac:dyDescent="0.3">
      <c r="A20" s="19" t="s">
        <v>23</v>
      </c>
      <c r="B20" s="26" t="s">
        <v>6</v>
      </c>
      <c r="C20" s="19">
        <v>7</v>
      </c>
      <c r="D20" s="18" t="s">
        <v>13</v>
      </c>
      <c r="E20" s="48">
        <v>287</v>
      </c>
      <c r="F20" s="21">
        <v>53</v>
      </c>
      <c r="G20" s="18">
        <f t="shared" si="0"/>
        <v>234</v>
      </c>
    </row>
    <row r="21" spans="1:7" x14ac:dyDescent="0.3">
      <c r="A21" s="22" t="s">
        <v>23</v>
      </c>
      <c r="B21" s="25" t="s">
        <v>7</v>
      </c>
      <c r="C21" s="22">
        <v>8</v>
      </c>
      <c r="D21" s="18" t="s">
        <v>13</v>
      </c>
      <c r="E21" s="1">
        <v>483</v>
      </c>
      <c r="F21" s="24">
        <f>25+12+5+3+1</f>
        <v>46</v>
      </c>
      <c r="G21" s="18">
        <f t="shared" si="0"/>
        <v>437</v>
      </c>
    </row>
    <row r="22" spans="1:7" x14ac:dyDescent="0.3">
      <c r="A22" s="19" t="s">
        <v>23</v>
      </c>
      <c r="B22" s="26" t="s">
        <v>8</v>
      </c>
      <c r="C22" s="19">
        <v>9</v>
      </c>
      <c r="D22" s="18" t="s">
        <v>13</v>
      </c>
      <c r="E22" s="48">
        <v>461</v>
      </c>
      <c r="F22" s="21">
        <v>77</v>
      </c>
      <c r="G22" s="18">
        <f t="shared" si="0"/>
        <v>384</v>
      </c>
    </row>
    <row r="23" spans="1:7" x14ac:dyDescent="0.3">
      <c r="A23" s="22" t="s">
        <v>23</v>
      </c>
      <c r="B23" s="25" t="s">
        <v>19</v>
      </c>
      <c r="C23" s="22">
        <v>10</v>
      </c>
      <c r="D23" s="18" t="s">
        <v>13</v>
      </c>
      <c r="E23" s="48">
        <v>422</v>
      </c>
      <c r="F23" s="24">
        <v>79</v>
      </c>
      <c r="G23" s="18">
        <f t="shared" si="0"/>
        <v>343</v>
      </c>
    </row>
    <row r="24" spans="1:7" x14ac:dyDescent="0.3">
      <c r="A24" s="19" t="s">
        <v>23</v>
      </c>
      <c r="B24" s="26" t="s">
        <v>21</v>
      </c>
      <c r="C24" s="19">
        <v>11</v>
      </c>
      <c r="D24" s="18" t="s">
        <v>13</v>
      </c>
      <c r="E24" s="1">
        <f>414-8</f>
        <v>406</v>
      </c>
      <c r="F24" s="21">
        <f>26+27+8+7+1+1</f>
        <v>70</v>
      </c>
      <c r="G24" s="18">
        <f t="shared" si="0"/>
        <v>336</v>
      </c>
    </row>
    <row r="25" spans="1:7" x14ac:dyDescent="0.3">
      <c r="A25" s="22" t="s">
        <v>23</v>
      </c>
      <c r="B25" s="25" t="s">
        <v>20</v>
      </c>
      <c r="C25" s="22">
        <v>12</v>
      </c>
      <c r="D25" s="18" t="s">
        <v>13</v>
      </c>
      <c r="E25" s="48">
        <v>457</v>
      </c>
      <c r="F25" s="24">
        <v>72</v>
      </c>
      <c r="G25" s="18">
        <f t="shared" si="0"/>
        <v>385</v>
      </c>
    </row>
    <row r="26" spans="1:7" x14ac:dyDescent="0.3">
      <c r="A26" s="17" t="s">
        <v>24</v>
      </c>
      <c r="B26" s="26" t="s">
        <v>0</v>
      </c>
      <c r="C26" s="19">
        <v>1</v>
      </c>
      <c r="D26" s="18" t="s">
        <v>13</v>
      </c>
      <c r="E26" s="1">
        <f>477-9</f>
        <v>468</v>
      </c>
      <c r="F26" s="21">
        <f>30+29+8+8+1</f>
        <v>76</v>
      </c>
      <c r="G26" s="18">
        <f t="shared" si="0"/>
        <v>392</v>
      </c>
    </row>
    <row r="27" spans="1:7" x14ac:dyDescent="0.3">
      <c r="A27" s="22" t="s">
        <v>24</v>
      </c>
      <c r="B27" s="25" t="s">
        <v>1</v>
      </c>
      <c r="C27" s="22">
        <v>2</v>
      </c>
      <c r="D27" s="18" t="s">
        <v>13</v>
      </c>
      <c r="E27" s="48">
        <v>441</v>
      </c>
      <c r="F27" s="24">
        <v>71</v>
      </c>
      <c r="G27" s="18">
        <f t="shared" si="0"/>
        <v>370</v>
      </c>
    </row>
    <row r="28" spans="1:7" x14ac:dyDescent="0.3">
      <c r="A28" s="19" t="s">
        <v>24</v>
      </c>
      <c r="B28" s="26" t="s">
        <v>2</v>
      </c>
      <c r="C28" s="19">
        <v>3</v>
      </c>
      <c r="D28" s="18" t="s">
        <v>13</v>
      </c>
      <c r="E28" s="1">
        <f>445-9</f>
        <v>436</v>
      </c>
      <c r="F28" s="21">
        <f>22+27+4+2</f>
        <v>55</v>
      </c>
      <c r="G28" s="18">
        <f t="shared" si="0"/>
        <v>381</v>
      </c>
    </row>
    <row r="29" spans="1:7" x14ac:dyDescent="0.3">
      <c r="A29" s="22" t="s">
        <v>24</v>
      </c>
      <c r="B29" s="25" t="s">
        <v>3</v>
      </c>
      <c r="C29" s="22">
        <v>4</v>
      </c>
      <c r="D29" s="18" t="s">
        <v>13</v>
      </c>
      <c r="E29" s="48">
        <v>489</v>
      </c>
      <c r="F29" s="24">
        <v>75</v>
      </c>
      <c r="G29" s="18">
        <f t="shared" si="0"/>
        <v>414</v>
      </c>
    </row>
    <row r="30" spans="1:7" x14ac:dyDescent="0.3">
      <c r="A30" s="19" t="s">
        <v>24</v>
      </c>
      <c r="B30" s="26" t="s">
        <v>4</v>
      </c>
      <c r="C30" s="19">
        <v>5</v>
      </c>
      <c r="D30" s="18" t="s">
        <v>13</v>
      </c>
      <c r="E30" s="48">
        <v>461</v>
      </c>
      <c r="F30" s="21">
        <v>53</v>
      </c>
      <c r="G30" s="18">
        <f t="shared" si="0"/>
        <v>408</v>
      </c>
    </row>
    <row r="31" spans="1:7" x14ac:dyDescent="0.3">
      <c r="A31" s="22" t="s">
        <v>24</v>
      </c>
      <c r="B31" s="25" t="s">
        <v>5</v>
      </c>
      <c r="C31" s="22">
        <v>6</v>
      </c>
      <c r="D31" s="18" t="s">
        <v>13</v>
      </c>
      <c r="E31" s="1">
        <v>454</v>
      </c>
      <c r="F31" s="24">
        <f>20+32+4+4+1+1</f>
        <v>62</v>
      </c>
      <c r="G31" s="18">
        <f t="shared" si="0"/>
        <v>392</v>
      </c>
    </row>
    <row r="32" spans="1:7" x14ac:dyDescent="0.3">
      <c r="A32" s="19" t="s">
        <v>24</v>
      </c>
      <c r="B32" s="26" t="s">
        <v>6</v>
      </c>
      <c r="C32" s="19">
        <v>7</v>
      </c>
      <c r="D32" s="18" t="s">
        <v>13</v>
      </c>
      <c r="E32" s="48">
        <v>450</v>
      </c>
      <c r="F32" s="21">
        <v>73</v>
      </c>
      <c r="G32" s="18">
        <f t="shared" si="0"/>
        <v>377</v>
      </c>
    </row>
    <row r="33" spans="1:7" x14ac:dyDescent="0.3">
      <c r="A33" s="22" t="s">
        <v>24</v>
      </c>
      <c r="B33" s="25" t="s">
        <v>7</v>
      </c>
      <c r="C33" s="22">
        <v>8</v>
      </c>
      <c r="D33" s="18" t="s">
        <v>13</v>
      </c>
      <c r="E33" s="1">
        <f>352-5</f>
        <v>347</v>
      </c>
      <c r="F33" s="24">
        <f>30+19+8+4</f>
        <v>61</v>
      </c>
      <c r="G33" s="18">
        <f t="shared" si="0"/>
        <v>286</v>
      </c>
    </row>
    <row r="34" spans="1:7" x14ac:dyDescent="0.3">
      <c r="A34" s="19" t="s">
        <v>24</v>
      </c>
      <c r="B34" s="26" t="s">
        <v>8</v>
      </c>
      <c r="C34" s="19">
        <v>9</v>
      </c>
      <c r="D34" s="18" t="s">
        <v>13</v>
      </c>
      <c r="E34" s="48">
        <v>459</v>
      </c>
      <c r="F34" s="21">
        <f>31+22+9+6+1+2+2+1</f>
        <v>74</v>
      </c>
      <c r="G34" s="18">
        <f t="shared" si="0"/>
        <v>385</v>
      </c>
    </row>
    <row r="35" spans="1:7" x14ac:dyDescent="0.3">
      <c r="A35" s="22" t="s">
        <v>24</v>
      </c>
      <c r="B35" s="25" t="s">
        <v>19</v>
      </c>
      <c r="C35" s="22">
        <v>10</v>
      </c>
      <c r="D35" s="18" t="s">
        <v>13</v>
      </c>
      <c r="E35" s="48">
        <v>453</v>
      </c>
      <c r="F35" s="24">
        <v>68</v>
      </c>
      <c r="G35" s="18">
        <f t="shared" si="0"/>
        <v>385</v>
      </c>
    </row>
    <row r="36" spans="1:7" x14ac:dyDescent="0.3">
      <c r="A36" s="19" t="s">
        <v>24</v>
      </c>
      <c r="B36" s="26" t="s">
        <v>21</v>
      </c>
      <c r="C36" s="19">
        <v>11</v>
      </c>
      <c r="D36" s="18" t="s">
        <v>13</v>
      </c>
      <c r="E36" s="1">
        <v>464</v>
      </c>
      <c r="F36" s="21">
        <f>27+28+8+6+1+1+2+1</f>
        <v>74</v>
      </c>
      <c r="G36" s="18">
        <f t="shared" si="0"/>
        <v>390</v>
      </c>
    </row>
    <row r="37" spans="1:7" x14ac:dyDescent="0.3">
      <c r="A37" s="22" t="s">
        <v>24</v>
      </c>
      <c r="B37" s="25" t="s">
        <v>20</v>
      </c>
      <c r="C37" s="22">
        <v>12</v>
      </c>
      <c r="D37" s="18" t="s">
        <v>13</v>
      </c>
      <c r="E37" s="48">
        <v>438</v>
      </c>
      <c r="F37" s="24">
        <v>82</v>
      </c>
      <c r="G37" s="18">
        <f t="shared" si="0"/>
        <v>356</v>
      </c>
    </row>
    <row r="38" spans="1:7" x14ac:dyDescent="0.3">
      <c r="A38" s="17" t="s">
        <v>25</v>
      </c>
      <c r="B38" s="26" t="s">
        <v>0</v>
      </c>
      <c r="C38" s="19">
        <v>1</v>
      </c>
      <c r="D38" s="18" t="s">
        <v>13</v>
      </c>
      <c r="E38" s="1">
        <f>428-7</f>
        <v>421</v>
      </c>
      <c r="F38" s="21">
        <f>30+29+10+4+3+2+1</f>
        <v>79</v>
      </c>
      <c r="G38" s="18">
        <f t="shared" si="0"/>
        <v>342</v>
      </c>
    </row>
    <row r="39" spans="1:7" x14ac:dyDescent="0.3">
      <c r="A39" s="22" t="s">
        <v>25</v>
      </c>
      <c r="B39" s="25" t="s">
        <v>1</v>
      </c>
      <c r="C39" s="22">
        <v>2</v>
      </c>
      <c r="D39" s="18" t="s">
        <v>13</v>
      </c>
      <c r="E39" s="48">
        <v>432</v>
      </c>
      <c r="F39" s="24">
        <v>81</v>
      </c>
      <c r="G39" s="18">
        <f t="shared" si="0"/>
        <v>351</v>
      </c>
    </row>
    <row r="40" spans="1:7" x14ac:dyDescent="0.3">
      <c r="A40" s="19" t="s">
        <v>25</v>
      </c>
      <c r="B40" s="26" t="s">
        <v>2</v>
      </c>
      <c r="C40" s="19">
        <v>3</v>
      </c>
      <c r="D40" s="18" t="s">
        <v>13</v>
      </c>
      <c r="E40" s="1">
        <v>492</v>
      </c>
      <c r="F40" s="21">
        <f>33+35+3+7+1+1+2+1</f>
        <v>83</v>
      </c>
      <c r="G40" s="18">
        <f t="shared" si="0"/>
        <v>409</v>
      </c>
    </row>
    <row r="41" spans="1:7" x14ac:dyDescent="0.3">
      <c r="A41" s="22" t="s">
        <v>25</v>
      </c>
      <c r="B41" s="25" t="s">
        <v>3</v>
      </c>
      <c r="C41" s="22">
        <v>4</v>
      </c>
      <c r="D41" s="18" t="s">
        <v>13</v>
      </c>
      <c r="E41" s="48">
        <v>498</v>
      </c>
      <c r="F41" s="24">
        <v>64</v>
      </c>
      <c r="G41" s="18">
        <f t="shared" si="0"/>
        <v>434</v>
      </c>
    </row>
    <row r="42" spans="1:7" x14ac:dyDescent="0.3">
      <c r="A42" s="19" t="s">
        <v>25</v>
      </c>
      <c r="B42" s="26" t="s">
        <v>4</v>
      </c>
      <c r="C42" s="19">
        <v>5</v>
      </c>
      <c r="D42" s="18" t="s">
        <v>13</v>
      </c>
      <c r="E42" s="48">
        <v>360</v>
      </c>
      <c r="F42" s="21">
        <f>18+18+7+3+2+1+3</f>
        <v>52</v>
      </c>
      <c r="G42" s="18">
        <f t="shared" si="0"/>
        <v>308</v>
      </c>
    </row>
    <row r="43" spans="1:7" x14ac:dyDescent="0.3">
      <c r="A43" s="22" t="s">
        <v>25</v>
      </c>
      <c r="B43" s="25" t="s">
        <v>5</v>
      </c>
      <c r="C43" s="22">
        <v>6</v>
      </c>
      <c r="D43" s="18" t="s">
        <v>13</v>
      </c>
      <c r="E43" s="1">
        <v>400</v>
      </c>
      <c r="F43" s="24">
        <f>20+27+1+5+2+2</f>
        <v>57</v>
      </c>
      <c r="G43" s="18">
        <f t="shared" si="0"/>
        <v>343</v>
      </c>
    </row>
    <row r="44" spans="1:7" x14ac:dyDescent="0.3">
      <c r="A44" s="19" t="s">
        <v>25</v>
      </c>
      <c r="B44" s="26" t="s">
        <v>6</v>
      </c>
      <c r="C44" s="19">
        <v>7</v>
      </c>
      <c r="D44" s="18" t="s">
        <v>13</v>
      </c>
      <c r="E44" s="48">
        <f>371-4</f>
        <v>367</v>
      </c>
      <c r="F44" s="21">
        <f>19+20+2+2+1+2</f>
        <v>46</v>
      </c>
      <c r="G44" s="18">
        <f t="shared" si="0"/>
        <v>321</v>
      </c>
    </row>
    <row r="45" spans="1:7" x14ac:dyDescent="0.3">
      <c r="A45" s="22" t="s">
        <v>25</v>
      </c>
      <c r="B45" s="25" t="s">
        <v>7</v>
      </c>
      <c r="C45" s="22">
        <v>8</v>
      </c>
      <c r="D45" s="18" t="s">
        <v>13</v>
      </c>
      <c r="E45" s="1">
        <f>523-11</f>
        <v>512</v>
      </c>
      <c r="F45" s="24">
        <f>35+53+4+1+1</f>
        <v>94</v>
      </c>
      <c r="G45" s="18">
        <f t="shared" si="0"/>
        <v>418</v>
      </c>
    </row>
    <row r="46" spans="1:7" x14ac:dyDescent="0.3">
      <c r="A46" s="19" t="s">
        <v>25</v>
      </c>
      <c r="B46" s="26" t="s">
        <v>8</v>
      </c>
      <c r="C46" s="19">
        <v>9</v>
      </c>
      <c r="D46" s="18" t="s">
        <v>13</v>
      </c>
      <c r="E46" s="48">
        <v>419</v>
      </c>
      <c r="F46" s="21">
        <v>47</v>
      </c>
      <c r="G46" s="18">
        <f t="shared" si="0"/>
        <v>372</v>
      </c>
    </row>
    <row r="47" spans="1:7" x14ac:dyDescent="0.3">
      <c r="A47" s="22" t="s">
        <v>25</v>
      </c>
      <c r="B47" s="25" t="s">
        <v>19</v>
      </c>
      <c r="C47" s="22">
        <v>10</v>
      </c>
      <c r="D47" s="18" t="s">
        <v>13</v>
      </c>
      <c r="E47" s="48">
        <v>532</v>
      </c>
      <c r="F47" s="24">
        <v>85</v>
      </c>
      <c r="G47" s="18">
        <f t="shared" si="0"/>
        <v>447</v>
      </c>
    </row>
    <row r="48" spans="1:7" x14ac:dyDescent="0.3">
      <c r="A48" s="19" t="s">
        <v>25</v>
      </c>
      <c r="B48" s="26" t="s">
        <v>21</v>
      </c>
      <c r="C48" s="19">
        <v>11</v>
      </c>
      <c r="D48" s="18" t="s">
        <v>13</v>
      </c>
      <c r="E48" s="1">
        <v>366</v>
      </c>
      <c r="F48" s="21">
        <f>24+15+1+5</f>
        <v>45</v>
      </c>
      <c r="G48" s="18">
        <f t="shared" si="0"/>
        <v>321</v>
      </c>
    </row>
    <row r="49" spans="1:7" x14ac:dyDescent="0.3">
      <c r="A49" s="22" t="s">
        <v>25</v>
      </c>
      <c r="B49" s="25" t="s">
        <v>20</v>
      </c>
      <c r="C49" s="22">
        <v>12</v>
      </c>
      <c r="D49" s="18" t="s">
        <v>13</v>
      </c>
      <c r="E49" s="48">
        <f>552
-7</f>
        <v>545</v>
      </c>
      <c r="F49" s="24">
        <v>102</v>
      </c>
      <c r="G49" s="18">
        <f t="shared" si="0"/>
        <v>443</v>
      </c>
    </row>
    <row r="50" spans="1:7" x14ac:dyDescent="0.3">
      <c r="A50" s="17" t="s">
        <v>26</v>
      </c>
      <c r="B50" s="26" t="s">
        <v>0</v>
      </c>
      <c r="C50" s="19">
        <v>1</v>
      </c>
      <c r="D50" s="18" t="s">
        <v>13</v>
      </c>
      <c r="E50" s="1">
        <v>381</v>
      </c>
      <c r="F50" s="21">
        <f>28+19+5+3+1+1</f>
        <v>57</v>
      </c>
      <c r="G50" s="18">
        <f t="shared" si="0"/>
        <v>324</v>
      </c>
    </row>
    <row r="51" spans="1:7" x14ac:dyDescent="0.3">
      <c r="A51" s="22" t="s">
        <v>26</v>
      </c>
      <c r="B51" s="25" t="s">
        <v>1</v>
      </c>
      <c r="C51" s="22">
        <v>2</v>
      </c>
      <c r="D51" s="18" t="s">
        <v>13</v>
      </c>
      <c r="E51" s="48">
        <v>416</v>
      </c>
      <c r="F51" s="24">
        <v>49</v>
      </c>
      <c r="G51" s="18">
        <f t="shared" si="0"/>
        <v>367</v>
      </c>
    </row>
    <row r="52" spans="1:7" x14ac:dyDescent="0.3">
      <c r="A52" s="19" t="s">
        <v>26</v>
      </c>
      <c r="B52" s="26" t="s">
        <v>2</v>
      </c>
      <c r="C52" s="19">
        <v>3</v>
      </c>
      <c r="D52" s="18" t="s">
        <v>13</v>
      </c>
      <c r="E52" s="1">
        <v>426</v>
      </c>
      <c r="F52" s="21">
        <f>17+22+2+3+4</f>
        <v>48</v>
      </c>
      <c r="G52" s="18">
        <f t="shared" si="0"/>
        <v>378</v>
      </c>
    </row>
    <row r="53" spans="1:7" x14ac:dyDescent="0.3">
      <c r="A53" s="22" t="s">
        <v>26</v>
      </c>
      <c r="B53" s="25" t="s">
        <v>3</v>
      </c>
      <c r="C53" s="22">
        <v>4</v>
      </c>
      <c r="D53" s="18" t="s">
        <v>13</v>
      </c>
      <c r="E53" s="48">
        <v>494</v>
      </c>
      <c r="F53" s="24">
        <f>24+30+2+1+1+1</f>
        <v>59</v>
      </c>
      <c r="G53" s="18">
        <f t="shared" si="0"/>
        <v>435</v>
      </c>
    </row>
    <row r="54" spans="1:7" x14ac:dyDescent="0.3">
      <c r="A54" s="19" t="s">
        <v>26</v>
      </c>
      <c r="B54" s="26" t="s">
        <v>4</v>
      </c>
      <c r="C54" s="19">
        <v>5</v>
      </c>
      <c r="D54" s="18" t="s">
        <v>13</v>
      </c>
      <c r="E54" s="48">
        <v>220</v>
      </c>
      <c r="F54" s="21">
        <f>12+9+1+1</f>
        <v>23</v>
      </c>
      <c r="G54" s="18">
        <f t="shared" si="0"/>
        <v>197</v>
      </c>
    </row>
    <row r="55" spans="1:7" x14ac:dyDescent="0.3">
      <c r="A55" s="22" t="s">
        <v>26</v>
      </c>
      <c r="B55" s="25" t="s">
        <v>5</v>
      </c>
      <c r="C55" s="22">
        <v>6</v>
      </c>
      <c r="D55" s="18" t="s">
        <v>13</v>
      </c>
      <c r="E55" s="1">
        <v>459</v>
      </c>
      <c r="F55" s="24">
        <f>34+41+4+2+1+2+2</f>
        <v>86</v>
      </c>
      <c r="G55" s="18">
        <f t="shared" si="0"/>
        <v>373</v>
      </c>
    </row>
    <row r="56" spans="1:7" x14ac:dyDescent="0.3">
      <c r="A56" s="19" t="s">
        <v>26</v>
      </c>
      <c r="B56" s="26" t="s">
        <v>6</v>
      </c>
      <c r="C56" s="19">
        <v>7</v>
      </c>
      <c r="D56" s="18" t="s">
        <v>13</v>
      </c>
      <c r="E56" s="48">
        <v>281</v>
      </c>
      <c r="F56" s="21">
        <f>20+16+3+3+1</f>
        <v>43</v>
      </c>
      <c r="G56" s="18">
        <f t="shared" si="0"/>
        <v>238</v>
      </c>
    </row>
    <row r="57" spans="1:7" x14ac:dyDescent="0.3">
      <c r="A57" s="22" t="s">
        <v>26</v>
      </c>
      <c r="B57" s="25" t="s">
        <v>7</v>
      </c>
      <c r="C57" s="22">
        <v>8</v>
      </c>
      <c r="D57" s="18" t="s">
        <v>13</v>
      </c>
      <c r="E57" s="1">
        <v>455</v>
      </c>
      <c r="F57" s="24">
        <f>30+48+2+1</f>
        <v>81</v>
      </c>
      <c r="G57" s="18">
        <f t="shared" si="0"/>
        <v>374</v>
      </c>
    </row>
    <row r="58" spans="1:7" x14ac:dyDescent="0.3">
      <c r="A58" s="19" t="s">
        <v>26</v>
      </c>
      <c r="B58" s="26" t="s">
        <v>8</v>
      </c>
      <c r="C58" s="19">
        <v>9</v>
      </c>
      <c r="D58" s="18" t="s">
        <v>13</v>
      </c>
      <c r="E58" s="48">
        <v>536</v>
      </c>
      <c r="F58" s="21">
        <v>64</v>
      </c>
      <c r="G58" s="18">
        <f t="shared" si="0"/>
        <v>472</v>
      </c>
    </row>
    <row r="59" spans="1:7" x14ac:dyDescent="0.3">
      <c r="A59" s="22" t="s">
        <v>26</v>
      </c>
      <c r="B59" s="25" t="s">
        <v>19</v>
      </c>
      <c r="C59" s="22">
        <v>10</v>
      </c>
      <c r="D59" s="18" t="s">
        <v>13</v>
      </c>
      <c r="E59" s="48">
        <v>516</v>
      </c>
      <c r="F59" s="24">
        <v>68</v>
      </c>
      <c r="G59" s="18">
        <f t="shared" si="0"/>
        <v>448</v>
      </c>
    </row>
    <row r="60" spans="1:7" x14ac:dyDescent="0.3">
      <c r="A60" s="19" t="s">
        <v>26</v>
      </c>
      <c r="B60" s="26" t="s">
        <v>21</v>
      </c>
      <c r="C60" s="19">
        <v>11</v>
      </c>
      <c r="D60" s="18" t="s">
        <v>13</v>
      </c>
      <c r="E60" s="1">
        <v>395</v>
      </c>
      <c r="F60" s="21">
        <f>22+33+2+1+2</f>
        <v>60</v>
      </c>
      <c r="G60" s="18">
        <f t="shared" si="0"/>
        <v>335</v>
      </c>
    </row>
    <row r="61" spans="1:7" x14ac:dyDescent="0.3">
      <c r="A61" s="22" t="s">
        <v>26</v>
      </c>
      <c r="B61" s="25" t="s">
        <v>20</v>
      </c>
      <c r="C61" s="22">
        <v>12</v>
      </c>
      <c r="D61" s="18" t="s">
        <v>13</v>
      </c>
      <c r="E61" s="48">
        <v>587</v>
      </c>
      <c r="F61" s="24">
        <v>118</v>
      </c>
      <c r="G61" s="18">
        <f t="shared" si="0"/>
        <v>469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8118-ED9A-4779-991A-1E4EF349E760}">
  <dimension ref="A2:J46"/>
  <sheetViews>
    <sheetView topLeftCell="A28" workbookViewId="0">
      <selection activeCell="J45" sqref="J45"/>
    </sheetView>
  </sheetViews>
  <sheetFormatPr defaultRowHeight="14.4" x14ac:dyDescent="0.3"/>
  <cols>
    <col min="1" max="1" width="12.5546875" bestFit="1" customWidth="1"/>
    <col min="2" max="2" width="10.5546875" bestFit="1" customWidth="1"/>
    <col min="3" max="3" width="14.44140625" bestFit="1" customWidth="1"/>
    <col min="6" max="6" width="12.5546875" bestFit="1" customWidth="1"/>
    <col min="7" max="7" width="11.33203125" bestFit="1" customWidth="1"/>
    <col min="8" max="8" width="13.77734375" bestFit="1" customWidth="1"/>
    <col min="9" max="9" width="10.5546875" bestFit="1" customWidth="1"/>
    <col min="10" max="10" width="14.44140625" bestFit="1" customWidth="1"/>
  </cols>
  <sheetData>
    <row r="2" spans="1:10" x14ac:dyDescent="0.3">
      <c r="A2" s="10" t="s">
        <v>28</v>
      </c>
      <c r="B2" t="s">
        <v>48</v>
      </c>
      <c r="C2" t="s">
        <v>49</v>
      </c>
      <c r="H2" s="10" t="s">
        <v>28</v>
      </c>
      <c r="I2" t="s">
        <v>48</v>
      </c>
      <c r="J2" t="s">
        <v>49</v>
      </c>
    </row>
    <row r="3" spans="1:10" x14ac:dyDescent="0.3">
      <c r="A3" s="11" t="s">
        <v>22</v>
      </c>
      <c r="B3">
        <v>601</v>
      </c>
      <c r="C3">
        <v>4106</v>
      </c>
      <c r="H3" s="11">
        <v>1</v>
      </c>
      <c r="I3">
        <v>308</v>
      </c>
      <c r="J3">
        <v>1665</v>
      </c>
    </row>
    <row r="4" spans="1:10" x14ac:dyDescent="0.3">
      <c r="A4" s="11" t="s">
        <v>23</v>
      </c>
      <c r="B4">
        <v>729</v>
      </c>
      <c r="C4">
        <v>4021</v>
      </c>
      <c r="H4" s="12" t="s">
        <v>0</v>
      </c>
      <c r="I4">
        <v>308</v>
      </c>
      <c r="J4">
        <v>1665</v>
      </c>
    </row>
    <row r="5" spans="1:10" x14ac:dyDescent="0.3">
      <c r="A5" s="11" t="s">
        <v>24</v>
      </c>
      <c r="B5">
        <v>824</v>
      </c>
      <c r="C5">
        <v>4536</v>
      </c>
      <c r="H5" s="11">
        <v>2</v>
      </c>
      <c r="I5">
        <v>294</v>
      </c>
      <c r="J5">
        <v>1698</v>
      </c>
    </row>
    <row r="6" spans="1:10" x14ac:dyDescent="0.3">
      <c r="A6" s="11" t="s">
        <v>25</v>
      </c>
      <c r="B6">
        <v>835</v>
      </c>
      <c r="C6">
        <v>4509</v>
      </c>
      <c r="H6" s="12" t="s">
        <v>1</v>
      </c>
      <c r="I6">
        <v>294</v>
      </c>
      <c r="J6">
        <v>1698</v>
      </c>
    </row>
    <row r="7" spans="1:10" x14ac:dyDescent="0.3">
      <c r="A7" s="11" t="s">
        <v>26</v>
      </c>
      <c r="B7">
        <v>756</v>
      </c>
      <c r="C7">
        <v>4410</v>
      </c>
      <c r="H7" s="11">
        <v>3</v>
      </c>
      <c r="I7">
        <v>311</v>
      </c>
      <c r="J7">
        <v>1845</v>
      </c>
    </row>
    <row r="8" spans="1:10" x14ac:dyDescent="0.3">
      <c r="A8" s="11" t="s">
        <v>29</v>
      </c>
      <c r="B8">
        <v>3745</v>
      </c>
      <c r="C8">
        <v>21582</v>
      </c>
      <c r="H8" s="12" t="s">
        <v>2</v>
      </c>
      <c r="I8">
        <v>311</v>
      </c>
      <c r="J8">
        <v>1845</v>
      </c>
    </row>
    <row r="9" spans="1:10" x14ac:dyDescent="0.3">
      <c r="H9" s="11">
        <v>4</v>
      </c>
      <c r="I9">
        <v>304</v>
      </c>
      <c r="J9">
        <v>1886</v>
      </c>
    </row>
    <row r="10" spans="1:10" x14ac:dyDescent="0.3">
      <c r="H10" s="12" t="s">
        <v>3</v>
      </c>
      <c r="I10">
        <v>304</v>
      </c>
      <c r="J10">
        <v>1886</v>
      </c>
    </row>
    <row r="11" spans="1:10" x14ac:dyDescent="0.3">
      <c r="H11" s="11">
        <v>5</v>
      </c>
      <c r="I11">
        <v>235</v>
      </c>
      <c r="J11">
        <v>1506</v>
      </c>
    </row>
    <row r="12" spans="1:10" x14ac:dyDescent="0.3">
      <c r="H12" s="12" t="s">
        <v>4</v>
      </c>
      <c r="I12">
        <v>235</v>
      </c>
      <c r="J12">
        <v>1506</v>
      </c>
    </row>
    <row r="13" spans="1:10" x14ac:dyDescent="0.3">
      <c r="H13" s="11">
        <v>6</v>
      </c>
      <c r="I13">
        <v>323</v>
      </c>
      <c r="J13">
        <v>1828</v>
      </c>
    </row>
    <row r="14" spans="1:10" x14ac:dyDescent="0.3">
      <c r="H14" s="12" t="s">
        <v>5</v>
      </c>
      <c r="I14">
        <v>323</v>
      </c>
      <c r="J14">
        <v>1828</v>
      </c>
    </row>
    <row r="15" spans="1:10" x14ac:dyDescent="0.3">
      <c r="H15" s="11">
        <v>7</v>
      </c>
      <c r="I15">
        <v>268</v>
      </c>
      <c r="J15">
        <v>1524</v>
      </c>
    </row>
    <row r="16" spans="1:10" x14ac:dyDescent="0.3">
      <c r="H16" s="12" t="s">
        <v>6</v>
      </c>
      <c r="I16">
        <v>268</v>
      </c>
      <c r="J16">
        <v>1524</v>
      </c>
    </row>
    <row r="17" spans="6:10" x14ac:dyDescent="0.3">
      <c r="H17" s="11">
        <v>8</v>
      </c>
      <c r="I17">
        <v>317</v>
      </c>
      <c r="J17">
        <v>1851</v>
      </c>
    </row>
    <row r="18" spans="6:10" x14ac:dyDescent="0.3">
      <c r="H18" s="12" t="s">
        <v>7</v>
      </c>
      <c r="I18">
        <v>317</v>
      </c>
      <c r="J18">
        <v>1851</v>
      </c>
    </row>
    <row r="19" spans="6:10" x14ac:dyDescent="0.3">
      <c r="H19" s="11">
        <v>9</v>
      </c>
      <c r="I19">
        <v>302</v>
      </c>
      <c r="J19">
        <v>2015</v>
      </c>
    </row>
    <row r="20" spans="6:10" x14ac:dyDescent="0.3">
      <c r="H20" s="12" t="s">
        <v>8</v>
      </c>
      <c r="I20">
        <v>302</v>
      </c>
      <c r="J20">
        <v>2015</v>
      </c>
    </row>
    <row r="21" spans="6:10" x14ac:dyDescent="0.3">
      <c r="H21" s="11">
        <v>10</v>
      </c>
      <c r="I21">
        <v>339</v>
      </c>
      <c r="J21">
        <v>1914</v>
      </c>
    </row>
    <row r="22" spans="6:10" x14ac:dyDescent="0.3">
      <c r="H22" s="12" t="s">
        <v>19</v>
      </c>
      <c r="I22">
        <v>339</v>
      </c>
      <c r="J22">
        <v>1914</v>
      </c>
    </row>
    <row r="23" spans="6:10" x14ac:dyDescent="0.3">
      <c r="H23" s="11">
        <v>11</v>
      </c>
      <c r="I23">
        <v>295</v>
      </c>
      <c r="J23">
        <v>1736</v>
      </c>
    </row>
    <row r="24" spans="6:10" x14ac:dyDescent="0.3">
      <c r="H24" s="12" t="s">
        <v>21</v>
      </c>
      <c r="I24">
        <v>295</v>
      </c>
      <c r="J24">
        <v>1736</v>
      </c>
    </row>
    <row r="25" spans="6:10" x14ac:dyDescent="0.3">
      <c r="H25" s="11">
        <v>12</v>
      </c>
      <c r="I25">
        <v>449</v>
      </c>
      <c r="J25">
        <v>2114</v>
      </c>
    </row>
    <row r="26" spans="6:10" x14ac:dyDescent="0.3">
      <c r="H26" s="12" t="s">
        <v>20</v>
      </c>
      <c r="I26">
        <v>449</v>
      </c>
      <c r="J26">
        <v>2114</v>
      </c>
    </row>
    <row r="27" spans="6:10" x14ac:dyDescent="0.3">
      <c r="H27" s="11" t="s">
        <v>29</v>
      </c>
      <c r="I27">
        <v>3745</v>
      </c>
      <c r="J27">
        <v>21582</v>
      </c>
    </row>
    <row r="31" spans="6:10" x14ac:dyDescent="0.3">
      <c r="F31" t="s">
        <v>44</v>
      </c>
      <c r="G31" t="s">
        <v>45</v>
      </c>
      <c r="H31" t="s">
        <v>46</v>
      </c>
    </row>
    <row r="32" spans="6:10" x14ac:dyDescent="0.3">
      <c r="F32" s="11" t="s">
        <v>22</v>
      </c>
      <c r="G32" t="s">
        <v>35</v>
      </c>
      <c r="H32">
        <v>601</v>
      </c>
    </row>
    <row r="33" spans="6:8" x14ac:dyDescent="0.3">
      <c r="F33" s="11" t="s">
        <v>22</v>
      </c>
      <c r="G33" t="s">
        <v>36</v>
      </c>
      <c r="H33">
        <v>4106</v>
      </c>
    </row>
    <row r="34" spans="6:8" x14ac:dyDescent="0.3">
      <c r="F34" s="11" t="s">
        <v>23</v>
      </c>
      <c r="G34" t="s">
        <v>35</v>
      </c>
      <c r="H34">
        <v>729</v>
      </c>
    </row>
    <row r="35" spans="6:8" x14ac:dyDescent="0.3">
      <c r="F35" s="11" t="s">
        <v>23</v>
      </c>
      <c r="G35" t="s">
        <v>36</v>
      </c>
      <c r="H35">
        <v>4021</v>
      </c>
    </row>
    <row r="36" spans="6:8" x14ac:dyDescent="0.3">
      <c r="F36" s="11" t="s">
        <v>24</v>
      </c>
      <c r="G36" t="s">
        <v>35</v>
      </c>
      <c r="H36">
        <v>824</v>
      </c>
    </row>
    <row r="37" spans="6:8" x14ac:dyDescent="0.3">
      <c r="F37" s="11" t="s">
        <v>24</v>
      </c>
      <c r="G37" t="s">
        <v>36</v>
      </c>
      <c r="H37">
        <v>4536</v>
      </c>
    </row>
    <row r="38" spans="6:8" x14ac:dyDescent="0.3">
      <c r="F38" s="11" t="s">
        <v>25</v>
      </c>
      <c r="G38" t="s">
        <v>35</v>
      </c>
      <c r="H38">
        <v>835</v>
      </c>
    </row>
    <row r="39" spans="6:8" x14ac:dyDescent="0.3">
      <c r="F39" s="11" t="s">
        <v>25</v>
      </c>
      <c r="G39" t="s">
        <v>36</v>
      </c>
      <c r="H39">
        <v>4509</v>
      </c>
    </row>
    <row r="40" spans="6:8" x14ac:dyDescent="0.3">
      <c r="F40" s="11" t="s">
        <v>26</v>
      </c>
      <c r="G40" t="s">
        <v>35</v>
      </c>
      <c r="H40">
        <v>756</v>
      </c>
    </row>
    <row r="41" spans="6:8" x14ac:dyDescent="0.3">
      <c r="F41" s="11" t="s">
        <v>26</v>
      </c>
      <c r="G41" t="s">
        <v>36</v>
      </c>
      <c r="H41">
        <v>4410</v>
      </c>
    </row>
    <row r="43" spans="6:8" x14ac:dyDescent="0.3">
      <c r="F43" s="10" t="s">
        <v>28</v>
      </c>
      <c r="G43" t="s">
        <v>47</v>
      </c>
    </row>
    <row r="44" spans="6:8" x14ac:dyDescent="0.3">
      <c r="F44" s="11" t="s">
        <v>35</v>
      </c>
      <c r="G44">
        <v>3745</v>
      </c>
    </row>
    <row r="45" spans="6:8" x14ac:dyDescent="0.3">
      <c r="F45" s="11" t="s">
        <v>36</v>
      </c>
      <c r="G45">
        <v>21582</v>
      </c>
    </row>
    <row r="46" spans="6:8" x14ac:dyDescent="0.3">
      <c r="F46" s="11" t="s">
        <v>29</v>
      </c>
      <c r="G46">
        <v>25327</v>
      </c>
    </row>
  </sheetData>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BFB12-BC6F-4F6E-993F-4432B48A6030}">
  <dimension ref="A1"/>
  <sheetViews>
    <sheetView zoomScale="9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590DC-6977-4E60-BC7E-DD70203E7533}">
  <dimension ref="A1:G61"/>
  <sheetViews>
    <sheetView topLeftCell="A37" workbookViewId="0">
      <selection activeCell="F61" sqref="F1:F61"/>
    </sheetView>
  </sheetViews>
  <sheetFormatPr defaultRowHeight="14.4" x14ac:dyDescent="0.3"/>
  <cols>
    <col min="1" max="1" width="7.6640625" bestFit="1" customWidth="1"/>
    <col min="2" max="2" width="9.77734375" bestFit="1" customWidth="1"/>
    <col min="3" max="3" width="13.5546875" bestFit="1" customWidth="1"/>
    <col min="4" max="4" width="13.21875" bestFit="1" customWidth="1"/>
    <col min="5" max="5" width="8.77734375" bestFit="1" customWidth="1"/>
    <col min="6" max="6" width="6.33203125" bestFit="1" customWidth="1"/>
    <col min="7" max="7" width="10.109375" bestFit="1" customWidth="1"/>
  </cols>
  <sheetData>
    <row r="1" spans="1:7" ht="15" thickBot="1" x14ac:dyDescent="0.35">
      <c r="A1" s="14" t="s">
        <v>32</v>
      </c>
      <c r="B1" s="15" t="s">
        <v>27</v>
      </c>
      <c r="C1" s="14" t="s">
        <v>30</v>
      </c>
      <c r="D1" s="15" t="s">
        <v>33</v>
      </c>
      <c r="E1" s="15" t="s">
        <v>34</v>
      </c>
      <c r="F1" s="14" t="s">
        <v>35</v>
      </c>
      <c r="G1" s="16" t="s">
        <v>36</v>
      </c>
    </row>
    <row r="2" spans="1:7" ht="15" thickTop="1" x14ac:dyDescent="0.3">
      <c r="A2" s="17" t="s">
        <v>22</v>
      </c>
      <c r="B2" s="18" t="s">
        <v>0</v>
      </c>
      <c r="C2" s="19">
        <v>1</v>
      </c>
      <c r="D2" s="20" t="s">
        <v>9</v>
      </c>
      <c r="E2" s="1">
        <v>105</v>
      </c>
      <c r="F2" s="21">
        <v>10</v>
      </c>
      <c r="G2" s="19">
        <f>Table6[[#This Row],[Count ]]-Table6[[#This Row],[kjss]]</f>
        <v>95</v>
      </c>
    </row>
    <row r="3" spans="1:7" x14ac:dyDescent="0.3">
      <c r="A3" s="22" t="s">
        <v>22</v>
      </c>
      <c r="B3" s="23" t="s">
        <v>1</v>
      </c>
      <c r="C3" s="22">
        <v>2</v>
      </c>
      <c r="D3" s="23" t="s">
        <v>9</v>
      </c>
      <c r="E3" s="49">
        <f>138-5</f>
        <v>133</v>
      </c>
      <c r="F3" s="24">
        <v>20</v>
      </c>
      <c r="G3" s="19">
        <f>Table6[[#This Row],[Count ]]-Table6[[#This Row],[kjss]]</f>
        <v>113</v>
      </c>
    </row>
    <row r="4" spans="1:7" x14ac:dyDescent="0.3">
      <c r="A4" s="19" t="s">
        <v>22</v>
      </c>
      <c r="B4" s="18" t="s">
        <v>2</v>
      </c>
      <c r="C4" s="19">
        <v>3</v>
      </c>
      <c r="D4" s="18" t="s">
        <v>9</v>
      </c>
      <c r="E4" s="1">
        <f>324-7</f>
        <v>317</v>
      </c>
      <c r="F4" s="21">
        <v>33</v>
      </c>
      <c r="G4" s="19">
        <f>Table6[[#This Row],[Count ]]-Table6[[#This Row],[kjss]]</f>
        <v>284</v>
      </c>
    </row>
    <row r="5" spans="1:7" x14ac:dyDescent="0.3">
      <c r="A5" s="22" t="s">
        <v>22</v>
      </c>
      <c r="B5" s="23" t="s">
        <v>3</v>
      </c>
      <c r="C5" s="22">
        <v>4</v>
      </c>
      <c r="D5" s="23" t="s">
        <v>9</v>
      </c>
      <c r="E5" s="48">
        <f>367-9</f>
        <v>358</v>
      </c>
      <c r="F5" s="24">
        <v>35</v>
      </c>
      <c r="G5" s="19">
        <f>Table6[[#This Row],[Count ]]-Table6[[#This Row],[kjss]]</f>
        <v>323</v>
      </c>
    </row>
    <row r="6" spans="1:7" x14ac:dyDescent="0.3">
      <c r="A6" s="19" t="s">
        <v>22</v>
      </c>
      <c r="B6" s="18" t="s">
        <v>4</v>
      </c>
      <c r="C6" s="19">
        <v>5</v>
      </c>
      <c r="D6" s="18" t="s">
        <v>9</v>
      </c>
      <c r="E6" s="48">
        <v>321</v>
      </c>
      <c r="F6" s="21">
        <v>35</v>
      </c>
      <c r="G6" s="19">
        <f>Table6[[#This Row],[Count ]]-Table6[[#This Row],[kjss]]</f>
        <v>286</v>
      </c>
    </row>
    <row r="7" spans="1:7" x14ac:dyDescent="0.3">
      <c r="A7" s="22" t="s">
        <v>22</v>
      </c>
      <c r="B7" s="23" t="s">
        <v>5</v>
      </c>
      <c r="C7" s="22">
        <v>6</v>
      </c>
      <c r="D7" s="23" t="s">
        <v>9</v>
      </c>
      <c r="E7" s="1">
        <f>378-4</f>
        <v>374</v>
      </c>
      <c r="F7" s="24">
        <v>28</v>
      </c>
      <c r="G7" s="19">
        <f>Table6[[#This Row],[Count ]]-Table6[[#This Row],[kjss]]</f>
        <v>346</v>
      </c>
    </row>
    <row r="8" spans="1:7" x14ac:dyDescent="0.3">
      <c r="A8" s="19" t="s">
        <v>22</v>
      </c>
      <c r="B8" s="18" t="s">
        <v>6</v>
      </c>
      <c r="C8" s="19">
        <v>7</v>
      </c>
      <c r="D8" s="18" t="s">
        <v>9</v>
      </c>
      <c r="E8" s="48">
        <f>369-5</f>
        <v>364</v>
      </c>
      <c r="F8" s="21">
        <v>20</v>
      </c>
      <c r="G8" s="19">
        <f>Table6[[#This Row],[Count ]]-Table6[[#This Row],[kjss]]</f>
        <v>344</v>
      </c>
    </row>
    <row r="9" spans="1:7" x14ac:dyDescent="0.3">
      <c r="A9" s="22" t="s">
        <v>22</v>
      </c>
      <c r="B9" s="23" t="s">
        <v>7</v>
      </c>
      <c r="C9" s="22">
        <v>8</v>
      </c>
      <c r="D9" s="23" t="s">
        <v>9</v>
      </c>
      <c r="E9" s="4">
        <v>229</v>
      </c>
      <c r="F9" s="24">
        <v>26</v>
      </c>
      <c r="G9" s="19">
        <f>Table6[[#This Row],[Count ]]-Table6[[#This Row],[kjss]]</f>
        <v>203</v>
      </c>
    </row>
    <row r="10" spans="1:7" x14ac:dyDescent="0.3">
      <c r="A10" s="19" t="s">
        <v>22</v>
      </c>
      <c r="B10" s="18" t="s">
        <v>8</v>
      </c>
      <c r="C10" s="19">
        <v>9</v>
      </c>
      <c r="D10" s="18" t="s">
        <v>9</v>
      </c>
      <c r="E10" s="48">
        <v>319</v>
      </c>
      <c r="F10" s="21">
        <v>37</v>
      </c>
      <c r="G10" s="19">
        <f>Table6[[#This Row],[Count ]]-Table6[[#This Row],[kjss]]</f>
        <v>282</v>
      </c>
    </row>
    <row r="11" spans="1:7" x14ac:dyDescent="0.3">
      <c r="A11" s="22" t="s">
        <v>22</v>
      </c>
      <c r="B11" s="25" t="s">
        <v>19</v>
      </c>
      <c r="C11" s="22">
        <v>10</v>
      </c>
      <c r="D11" s="23" t="s">
        <v>9</v>
      </c>
      <c r="E11" s="48">
        <v>232</v>
      </c>
      <c r="F11" s="24">
        <v>31</v>
      </c>
      <c r="G11" s="19">
        <f>Table6[[#This Row],[Count ]]-Table6[[#This Row],[kjss]]</f>
        <v>201</v>
      </c>
    </row>
    <row r="12" spans="1:7" x14ac:dyDescent="0.3">
      <c r="A12" s="19" t="s">
        <v>22</v>
      </c>
      <c r="B12" s="26" t="s">
        <v>21</v>
      </c>
      <c r="C12" s="19">
        <v>11</v>
      </c>
      <c r="D12" s="18" t="s">
        <v>9</v>
      </c>
      <c r="E12" s="1">
        <f>408-6</f>
        <v>402</v>
      </c>
      <c r="F12" s="21">
        <v>39</v>
      </c>
      <c r="G12" s="19">
        <f>Table6[[#This Row],[Count ]]-Table6[[#This Row],[kjss]]</f>
        <v>363</v>
      </c>
    </row>
    <row r="13" spans="1:7" x14ac:dyDescent="0.3">
      <c r="A13" s="22" t="s">
        <v>22</v>
      </c>
      <c r="B13" s="27" t="s">
        <v>20</v>
      </c>
      <c r="C13" s="22">
        <v>12</v>
      </c>
      <c r="D13" s="23" t="s">
        <v>9</v>
      </c>
      <c r="E13" s="48">
        <v>562</v>
      </c>
      <c r="F13" s="24">
        <f>17+40+41</f>
        <v>98</v>
      </c>
      <c r="G13" s="19">
        <f>Table6[[#This Row],[Count ]]-Table6[[#This Row],[kjss]]</f>
        <v>464</v>
      </c>
    </row>
    <row r="14" spans="1:7" x14ac:dyDescent="0.3">
      <c r="A14" s="17" t="s">
        <v>23</v>
      </c>
      <c r="B14" s="18" t="s">
        <v>0</v>
      </c>
      <c r="C14" s="19">
        <v>1</v>
      </c>
      <c r="D14" s="18" t="s">
        <v>9</v>
      </c>
      <c r="E14" s="1">
        <v>376</v>
      </c>
      <c r="F14" s="21">
        <v>46</v>
      </c>
      <c r="G14" s="19">
        <f>Table6[[#This Row],[Count ]]-Table6[[#This Row],[kjss]]</f>
        <v>330</v>
      </c>
    </row>
    <row r="15" spans="1:7" x14ac:dyDescent="0.3">
      <c r="A15" s="22" t="s">
        <v>23</v>
      </c>
      <c r="B15" s="23" t="s">
        <v>1</v>
      </c>
      <c r="C15" s="22">
        <v>2</v>
      </c>
      <c r="D15" s="23" t="s">
        <v>9</v>
      </c>
      <c r="E15" s="49">
        <v>352</v>
      </c>
      <c r="F15" s="24">
        <v>42</v>
      </c>
      <c r="G15" s="19">
        <f>Table6[[#This Row],[Count ]]-Table6[[#This Row],[kjss]]</f>
        <v>310</v>
      </c>
    </row>
    <row r="16" spans="1:7" x14ac:dyDescent="0.3">
      <c r="A16" s="19" t="s">
        <v>23</v>
      </c>
      <c r="B16" s="18" t="s">
        <v>2</v>
      </c>
      <c r="C16" s="19">
        <v>3</v>
      </c>
      <c r="D16" s="18" t="s">
        <v>9</v>
      </c>
      <c r="E16" s="1">
        <f>393-4</f>
        <v>389</v>
      </c>
      <c r="F16" s="21">
        <v>41</v>
      </c>
      <c r="G16" s="19">
        <f>Table6[[#This Row],[Count ]]-Table6[[#This Row],[kjss]]</f>
        <v>348</v>
      </c>
    </row>
    <row r="17" spans="1:7" x14ac:dyDescent="0.3">
      <c r="A17" s="22" t="s">
        <v>23</v>
      </c>
      <c r="B17" s="23" t="s">
        <v>3</v>
      </c>
      <c r="C17" s="22">
        <v>4</v>
      </c>
      <c r="D17" s="23" t="s">
        <v>9</v>
      </c>
      <c r="E17" s="48">
        <v>297</v>
      </c>
      <c r="F17" s="24">
        <v>34</v>
      </c>
      <c r="G17" s="19">
        <f>Table6[[#This Row],[Count ]]-Table6[[#This Row],[kjss]]</f>
        <v>263</v>
      </c>
    </row>
    <row r="18" spans="1:7" x14ac:dyDescent="0.3">
      <c r="A18" s="19" t="s">
        <v>23</v>
      </c>
      <c r="B18" s="18" t="s">
        <v>4</v>
      </c>
      <c r="C18" s="19">
        <v>5</v>
      </c>
      <c r="D18" s="18" t="s">
        <v>9</v>
      </c>
      <c r="E18" s="48">
        <v>356</v>
      </c>
      <c r="F18" s="57">
        <f>9+14+1+29+16+24</f>
        <v>93</v>
      </c>
      <c r="G18" s="19">
        <f>Table6[[#This Row],[Count ]]-Table6[[#This Row],[kjss]]</f>
        <v>263</v>
      </c>
    </row>
    <row r="19" spans="1:7" x14ac:dyDescent="0.3">
      <c r="A19" s="22" t="s">
        <v>23</v>
      </c>
      <c r="B19" s="23" t="s">
        <v>5</v>
      </c>
      <c r="C19" s="22">
        <v>6</v>
      </c>
      <c r="D19" s="23" t="s">
        <v>9</v>
      </c>
      <c r="E19" s="1">
        <v>368</v>
      </c>
      <c r="F19" s="24">
        <v>25</v>
      </c>
      <c r="G19" s="19">
        <f>Table6[[#This Row],[Count ]]-Table6[[#This Row],[kjss]]</f>
        <v>343</v>
      </c>
    </row>
    <row r="20" spans="1:7" x14ac:dyDescent="0.3">
      <c r="A20" s="19" t="s">
        <v>23</v>
      </c>
      <c r="B20" s="18" t="s">
        <v>6</v>
      </c>
      <c r="C20" s="19">
        <v>7</v>
      </c>
      <c r="D20" s="18" t="s">
        <v>9</v>
      </c>
      <c r="E20" s="48">
        <v>228</v>
      </c>
      <c r="F20" s="21">
        <v>30</v>
      </c>
      <c r="G20" s="19">
        <f>Table6[[#This Row],[Count ]]-Table6[[#This Row],[kjss]]</f>
        <v>198</v>
      </c>
    </row>
    <row r="21" spans="1:7" x14ac:dyDescent="0.3">
      <c r="A21" s="22" t="s">
        <v>23</v>
      </c>
      <c r="B21" s="23" t="s">
        <v>7</v>
      </c>
      <c r="C21" s="22">
        <v>8</v>
      </c>
      <c r="D21" s="23" t="s">
        <v>9</v>
      </c>
      <c r="E21" s="4">
        <f>353-7</f>
        <v>346</v>
      </c>
      <c r="F21" s="24">
        <v>26</v>
      </c>
      <c r="G21" s="19">
        <f>Table6[[#This Row],[Count ]]-Table6[[#This Row],[kjss]]</f>
        <v>320</v>
      </c>
    </row>
    <row r="22" spans="1:7" x14ac:dyDescent="0.3">
      <c r="A22" s="19" t="s">
        <v>23</v>
      </c>
      <c r="B22" s="18" t="s">
        <v>8</v>
      </c>
      <c r="C22" s="19">
        <v>9</v>
      </c>
      <c r="D22" s="18" t="s">
        <v>9</v>
      </c>
      <c r="E22" s="48">
        <v>388</v>
      </c>
      <c r="F22" s="21">
        <v>39</v>
      </c>
      <c r="G22" s="19">
        <f>Table6[[#This Row],[Count ]]-Table6[[#This Row],[kjss]]</f>
        <v>349</v>
      </c>
    </row>
    <row r="23" spans="1:7" x14ac:dyDescent="0.3">
      <c r="A23" s="22" t="s">
        <v>23</v>
      </c>
      <c r="B23" s="25" t="s">
        <v>19</v>
      </c>
      <c r="C23" s="22">
        <v>10</v>
      </c>
      <c r="D23" s="23" t="s">
        <v>9</v>
      </c>
      <c r="E23" s="48">
        <v>255</v>
      </c>
      <c r="F23" s="24">
        <v>19</v>
      </c>
      <c r="G23" s="19">
        <f>Table6[[#This Row],[Count ]]-Table6[[#This Row],[kjss]]</f>
        <v>236</v>
      </c>
    </row>
    <row r="24" spans="1:7" x14ac:dyDescent="0.3">
      <c r="A24" s="19" t="s">
        <v>23</v>
      </c>
      <c r="B24" s="26" t="s">
        <v>21</v>
      </c>
      <c r="C24" s="19">
        <v>11</v>
      </c>
      <c r="D24" s="18" t="s">
        <v>9</v>
      </c>
      <c r="E24" s="1">
        <v>404</v>
      </c>
      <c r="F24" s="21">
        <f>26+30+11+1+2</f>
        <v>70</v>
      </c>
      <c r="G24" s="19">
        <f>Table6[[#This Row],[Count ]]-Table6[[#This Row],[kjss]]</f>
        <v>334</v>
      </c>
    </row>
    <row r="25" spans="1:7" x14ac:dyDescent="0.3">
      <c r="A25" s="22" t="s">
        <v>23</v>
      </c>
      <c r="B25" s="27" t="s">
        <v>20</v>
      </c>
      <c r="C25" s="22">
        <v>12</v>
      </c>
      <c r="D25" s="23" t="s">
        <v>9</v>
      </c>
      <c r="E25" s="48">
        <f>552
-5</f>
        <v>547</v>
      </c>
      <c r="F25" s="24">
        <f>10+23+36+39</f>
        <v>108</v>
      </c>
      <c r="G25" s="19">
        <f>Table6[[#This Row],[Count ]]-Table6[[#This Row],[kjss]]</f>
        <v>439</v>
      </c>
    </row>
    <row r="26" spans="1:7" x14ac:dyDescent="0.3">
      <c r="A26" s="17" t="s">
        <v>24</v>
      </c>
      <c r="B26" s="18" t="s">
        <v>0</v>
      </c>
      <c r="C26" s="19">
        <v>1</v>
      </c>
      <c r="D26" s="18" t="s">
        <v>9</v>
      </c>
      <c r="E26" s="1">
        <f>375-6</f>
        <v>369</v>
      </c>
      <c r="F26" s="21">
        <f>14+13+7+1+1</f>
        <v>36</v>
      </c>
      <c r="G26" s="19">
        <f>Table6[[#This Row],[Count ]]-Table6[[#This Row],[kjss]]</f>
        <v>333</v>
      </c>
    </row>
    <row r="27" spans="1:7" x14ac:dyDescent="0.3">
      <c r="A27" s="22" t="s">
        <v>24</v>
      </c>
      <c r="B27" s="23" t="s">
        <v>1</v>
      </c>
      <c r="C27" s="22">
        <v>2</v>
      </c>
      <c r="D27" s="23" t="s">
        <v>9</v>
      </c>
      <c r="E27" s="49">
        <v>398</v>
      </c>
      <c r="F27" s="24">
        <f>13+10+16+16+1</f>
        <v>56</v>
      </c>
      <c r="G27" s="19">
        <f>Table6[[#This Row],[Count ]]-Table6[[#This Row],[kjss]]</f>
        <v>342</v>
      </c>
    </row>
    <row r="28" spans="1:7" x14ac:dyDescent="0.3">
      <c r="A28" s="19" t="s">
        <v>24</v>
      </c>
      <c r="B28" s="18" t="s">
        <v>2</v>
      </c>
      <c r="C28" s="19">
        <v>3</v>
      </c>
      <c r="D28" s="18" t="s">
        <v>9</v>
      </c>
      <c r="E28" s="1">
        <f>353-4</f>
        <v>349</v>
      </c>
      <c r="F28" s="21">
        <f>1+5+2+13+8+1</f>
        <v>30</v>
      </c>
      <c r="G28" s="19">
        <f>Table6[[#This Row],[Count ]]-Table6[[#This Row],[kjss]]</f>
        <v>319</v>
      </c>
    </row>
    <row r="29" spans="1:7" x14ac:dyDescent="0.3">
      <c r="A29" s="22" t="s">
        <v>24</v>
      </c>
      <c r="B29" s="23" t="s">
        <v>3</v>
      </c>
      <c r="C29" s="22">
        <v>4</v>
      </c>
      <c r="D29" s="23" t="s">
        <v>9</v>
      </c>
      <c r="E29" s="48">
        <v>342</v>
      </c>
      <c r="F29" s="24">
        <v>36</v>
      </c>
      <c r="G29" s="19">
        <f>Table6[[#This Row],[Count ]]-Table6[[#This Row],[kjss]]</f>
        <v>306</v>
      </c>
    </row>
    <row r="30" spans="1:7" x14ac:dyDescent="0.3">
      <c r="A30" s="19" t="s">
        <v>24</v>
      </c>
      <c r="B30" s="18" t="s">
        <v>4</v>
      </c>
      <c r="C30" s="19">
        <v>5</v>
      </c>
      <c r="D30" s="18" t="s">
        <v>9</v>
      </c>
      <c r="E30" s="48">
        <v>306</v>
      </c>
      <c r="F30" s="21">
        <f>5+1+5+5+8+9</f>
        <v>33</v>
      </c>
      <c r="G30" s="19">
        <f>Table6[[#This Row],[Count ]]-Table6[[#This Row],[kjss]]</f>
        <v>273</v>
      </c>
    </row>
    <row r="31" spans="1:7" x14ac:dyDescent="0.3">
      <c r="A31" s="22" t="s">
        <v>24</v>
      </c>
      <c r="B31" s="23" t="s">
        <v>5</v>
      </c>
      <c r="C31" s="22">
        <v>6</v>
      </c>
      <c r="D31" s="23" t="s">
        <v>9</v>
      </c>
      <c r="E31" s="1">
        <v>332</v>
      </c>
      <c r="F31" s="24">
        <v>28</v>
      </c>
      <c r="G31" s="19">
        <f>Table6[[#This Row],[Count ]]-Table6[[#This Row],[kjss]]</f>
        <v>304</v>
      </c>
    </row>
    <row r="32" spans="1:7" x14ac:dyDescent="0.3">
      <c r="A32" s="19" t="s">
        <v>24</v>
      </c>
      <c r="B32" s="18" t="s">
        <v>6</v>
      </c>
      <c r="C32" s="19">
        <v>7</v>
      </c>
      <c r="D32" s="18" t="s">
        <v>9</v>
      </c>
      <c r="E32" s="48">
        <v>328</v>
      </c>
      <c r="F32" s="21">
        <v>35</v>
      </c>
      <c r="G32" s="19">
        <f>Table6[[#This Row],[Count ]]-Table6[[#This Row],[kjss]]</f>
        <v>293</v>
      </c>
    </row>
    <row r="33" spans="1:7" x14ac:dyDescent="0.3">
      <c r="A33" s="22" t="s">
        <v>24</v>
      </c>
      <c r="B33" s="23" t="s">
        <v>7</v>
      </c>
      <c r="C33" s="22">
        <v>8</v>
      </c>
      <c r="D33" s="23" t="s">
        <v>9</v>
      </c>
      <c r="E33" s="4">
        <v>226</v>
      </c>
      <c r="F33" s="24">
        <f>2+3+1+7+12+10</f>
        <v>35</v>
      </c>
      <c r="G33" s="19">
        <f>Table6[[#This Row],[Count ]]-Table6[[#This Row],[kjss]]</f>
        <v>191</v>
      </c>
    </row>
    <row r="34" spans="1:7" x14ac:dyDescent="0.3">
      <c r="A34" s="19" t="s">
        <v>24</v>
      </c>
      <c r="B34" s="18" t="s">
        <v>8</v>
      </c>
      <c r="C34" s="19">
        <v>9</v>
      </c>
      <c r="D34" s="18" t="s">
        <v>9</v>
      </c>
      <c r="E34" s="48">
        <f>383-6</f>
        <v>377</v>
      </c>
      <c r="F34" s="21">
        <v>44</v>
      </c>
      <c r="G34" s="19">
        <f>Table6[[#This Row],[Count ]]-Table6[[#This Row],[kjss]]</f>
        <v>333</v>
      </c>
    </row>
    <row r="35" spans="1:7" x14ac:dyDescent="0.3">
      <c r="A35" s="22" t="s">
        <v>24</v>
      </c>
      <c r="B35" s="25" t="s">
        <v>19</v>
      </c>
      <c r="C35" s="22">
        <v>10</v>
      </c>
      <c r="D35" s="23" t="s">
        <v>9</v>
      </c>
      <c r="E35" s="48">
        <v>356</v>
      </c>
      <c r="F35" s="24">
        <v>45</v>
      </c>
      <c r="G35" s="19">
        <f>Table6[[#This Row],[Count ]]-Table6[[#This Row],[kjss]]</f>
        <v>311</v>
      </c>
    </row>
    <row r="36" spans="1:7" x14ac:dyDescent="0.3">
      <c r="A36" s="19" t="s">
        <v>24</v>
      </c>
      <c r="B36" s="26" t="s">
        <v>21</v>
      </c>
      <c r="C36" s="19">
        <v>11</v>
      </c>
      <c r="D36" s="18" t="s">
        <v>9</v>
      </c>
      <c r="E36" s="1">
        <v>430</v>
      </c>
      <c r="F36" s="21">
        <f>3+17+23+18+1+1</f>
        <v>63</v>
      </c>
      <c r="G36" s="19">
        <f>Table6[[#This Row],[Count ]]-Table6[[#This Row],[kjss]]</f>
        <v>367</v>
      </c>
    </row>
    <row r="37" spans="1:7" x14ac:dyDescent="0.3">
      <c r="A37" s="22" t="s">
        <v>24</v>
      </c>
      <c r="B37" s="27" t="s">
        <v>20</v>
      </c>
      <c r="C37" s="22">
        <v>12</v>
      </c>
      <c r="D37" s="23" t="s">
        <v>9</v>
      </c>
      <c r="E37" s="48">
        <v>594</v>
      </c>
      <c r="F37" s="24">
        <f>8+12+27+49+55</f>
        <v>151</v>
      </c>
      <c r="G37" s="19">
        <f>Table6[[#This Row],[Count ]]-Table6[[#This Row],[kjss]]</f>
        <v>443</v>
      </c>
    </row>
    <row r="38" spans="1:7" x14ac:dyDescent="0.3">
      <c r="A38" s="17" t="s">
        <v>25</v>
      </c>
      <c r="B38" s="18" t="s">
        <v>0</v>
      </c>
      <c r="C38" s="19">
        <v>1</v>
      </c>
      <c r="D38" s="18" t="s">
        <v>9</v>
      </c>
      <c r="E38" s="1">
        <f>382-9</f>
        <v>373</v>
      </c>
      <c r="F38" s="21">
        <f>3+8+4+10+1</f>
        <v>26</v>
      </c>
      <c r="G38" s="19">
        <f>Table6[[#This Row],[Count ]]-Table6[[#This Row],[kjss]]</f>
        <v>347</v>
      </c>
    </row>
    <row r="39" spans="1:7" x14ac:dyDescent="0.3">
      <c r="A39" s="22" t="s">
        <v>25</v>
      </c>
      <c r="B39" s="23" t="s">
        <v>1</v>
      </c>
      <c r="C39" s="22">
        <v>2</v>
      </c>
      <c r="D39" s="23" t="s">
        <v>9</v>
      </c>
      <c r="E39" s="49">
        <v>383</v>
      </c>
      <c r="F39" s="24">
        <f>2+6+10+13+12+1+2</f>
        <v>46</v>
      </c>
      <c r="G39" s="19">
        <f>Table6[[#This Row],[Count ]]-Table6[[#This Row],[kjss]]</f>
        <v>337</v>
      </c>
    </row>
    <row r="40" spans="1:7" x14ac:dyDescent="0.3">
      <c r="A40" s="19" t="s">
        <v>25</v>
      </c>
      <c r="B40" s="18" t="s">
        <v>2</v>
      </c>
      <c r="C40" s="19">
        <v>3</v>
      </c>
      <c r="D40" s="18" t="s">
        <v>9</v>
      </c>
      <c r="E40" s="1">
        <v>357</v>
      </c>
      <c r="F40" s="21">
        <f>1+5+9+13+9+1</f>
        <v>38</v>
      </c>
      <c r="G40" s="19">
        <f>Table6[[#This Row],[Count ]]-Table6[[#This Row],[kjss]]</f>
        <v>319</v>
      </c>
    </row>
    <row r="41" spans="1:7" x14ac:dyDescent="0.3">
      <c r="A41" s="22" t="s">
        <v>25</v>
      </c>
      <c r="B41" s="23" t="s">
        <v>3</v>
      </c>
      <c r="C41" s="22">
        <v>4</v>
      </c>
      <c r="D41" s="23" t="s">
        <v>9</v>
      </c>
      <c r="E41" s="48">
        <v>429</v>
      </c>
      <c r="F41" s="24">
        <f>7+7+8+11</f>
        <v>33</v>
      </c>
      <c r="G41" s="19">
        <f>Table6[[#This Row],[Count ]]-Table6[[#This Row],[kjss]]</f>
        <v>396</v>
      </c>
    </row>
    <row r="42" spans="1:7" x14ac:dyDescent="0.3">
      <c r="A42" s="19" t="s">
        <v>25</v>
      </c>
      <c r="B42" s="18" t="s">
        <v>4</v>
      </c>
      <c r="C42" s="19">
        <v>5</v>
      </c>
      <c r="D42" s="18" t="s">
        <v>9</v>
      </c>
      <c r="E42" s="48">
        <v>250</v>
      </c>
      <c r="F42" s="21">
        <f>1+2+2+7+7+2</f>
        <v>21</v>
      </c>
      <c r="G42" s="19">
        <f>Table6[[#This Row],[Count ]]-Table6[[#This Row],[kjss]]</f>
        <v>229</v>
      </c>
    </row>
    <row r="43" spans="1:7" x14ac:dyDescent="0.3">
      <c r="A43" s="22" t="s">
        <v>25</v>
      </c>
      <c r="B43" s="23" t="s">
        <v>5</v>
      </c>
      <c r="C43" s="22">
        <v>6</v>
      </c>
      <c r="D43" s="23" t="s">
        <v>9</v>
      </c>
      <c r="E43" s="1">
        <v>333</v>
      </c>
      <c r="F43" s="24">
        <f>1+5+7+7+8+1</f>
        <v>29</v>
      </c>
      <c r="G43" s="19">
        <f>Table6[[#This Row],[Count ]]-Table6[[#This Row],[kjss]]</f>
        <v>304</v>
      </c>
    </row>
    <row r="44" spans="1:7" x14ac:dyDescent="0.3">
      <c r="A44" s="19" t="s">
        <v>25</v>
      </c>
      <c r="B44" s="18" t="s">
        <v>6</v>
      </c>
      <c r="C44" s="19">
        <v>7</v>
      </c>
      <c r="D44" s="18" t="s">
        <v>9</v>
      </c>
      <c r="E44" s="48">
        <v>276</v>
      </c>
      <c r="F44" s="21">
        <f>1+6+16+9+1+1+1</f>
        <v>35</v>
      </c>
      <c r="G44" s="19">
        <f>Table6[[#This Row],[Count ]]-Table6[[#This Row],[kjss]]</f>
        <v>241</v>
      </c>
    </row>
    <row r="45" spans="1:7" x14ac:dyDescent="0.3">
      <c r="A45" s="22" t="s">
        <v>25</v>
      </c>
      <c r="B45" s="23" t="s">
        <v>7</v>
      </c>
      <c r="C45" s="22">
        <v>8</v>
      </c>
      <c r="D45" s="23" t="s">
        <v>9</v>
      </c>
      <c r="E45" s="4">
        <v>287</v>
      </c>
      <c r="F45" s="24">
        <f>2+9+15</f>
        <v>26</v>
      </c>
      <c r="G45" s="19">
        <f>Table6[[#This Row],[Count ]]-Table6[[#This Row],[kjss]]</f>
        <v>261</v>
      </c>
    </row>
    <row r="46" spans="1:7" x14ac:dyDescent="0.3">
      <c r="A46" s="19" t="s">
        <v>25</v>
      </c>
      <c r="B46" s="18" t="s">
        <v>8</v>
      </c>
      <c r="C46" s="19">
        <v>9</v>
      </c>
      <c r="D46" s="18" t="s">
        <v>9</v>
      </c>
      <c r="E46" s="48">
        <v>279</v>
      </c>
      <c r="F46" s="21">
        <f>2+2+6+9+10+1+2+3</f>
        <v>35</v>
      </c>
      <c r="G46" s="19">
        <f>Table6[[#This Row],[Count ]]-Table6[[#This Row],[kjss]]</f>
        <v>244</v>
      </c>
    </row>
    <row r="47" spans="1:7" x14ac:dyDescent="0.3">
      <c r="A47" s="22" t="s">
        <v>25</v>
      </c>
      <c r="B47" s="25" t="s">
        <v>19</v>
      </c>
      <c r="C47" s="22">
        <v>10</v>
      </c>
      <c r="D47" s="23" t="s">
        <v>9</v>
      </c>
      <c r="E47" s="48">
        <v>291</v>
      </c>
      <c r="F47" s="24">
        <f>2+5+2+16+9+4+7</f>
        <v>45</v>
      </c>
      <c r="G47" s="19">
        <f>Table6[[#This Row],[Count ]]-Table6[[#This Row],[kjss]]</f>
        <v>246</v>
      </c>
    </row>
    <row r="48" spans="1:7" x14ac:dyDescent="0.3">
      <c r="A48" s="19" t="s">
        <v>25</v>
      </c>
      <c r="B48" s="26" t="s">
        <v>21</v>
      </c>
      <c r="C48" s="19">
        <v>11</v>
      </c>
      <c r="D48" s="18" t="s">
        <v>9</v>
      </c>
      <c r="E48" s="1">
        <v>350</v>
      </c>
      <c r="F48" s="21">
        <f>2+4+8+24+19+1+2</f>
        <v>60</v>
      </c>
      <c r="G48" s="19">
        <f>Table6[[#This Row],[Count ]]-Table6[[#This Row],[kjss]]</f>
        <v>290</v>
      </c>
    </row>
    <row r="49" spans="1:7" x14ac:dyDescent="0.3">
      <c r="A49" s="22" t="s">
        <v>25</v>
      </c>
      <c r="B49" s="27" t="s">
        <v>20</v>
      </c>
      <c r="C49" s="22">
        <v>12</v>
      </c>
      <c r="D49" s="23" t="s">
        <v>9</v>
      </c>
      <c r="E49" s="48">
        <f>543
-8</f>
        <v>535</v>
      </c>
      <c r="F49" s="24">
        <v>169</v>
      </c>
      <c r="G49" s="19">
        <f>Table6[[#This Row],[Count ]]-Table6[[#This Row],[kjss]]</f>
        <v>366</v>
      </c>
    </row>
    <row r="50" spans="1:7" x14ac:dyDescent="0.3">
      <c r="A50" s="17" t="s">
        <v>26</v>
      </c>
      <c r="B50" s="18" t="s">
        <v>0</v>
      </c>
      <c r="C50" s="19">
        <v>1</v>
      </c>
      <c r="D50" s="18" t="s">
        <v>9</v>
      </c>
      <c r="E50" s="1">
        <v>361</v>
      </c>
      <c r="F50" s="21">
        <f>2+5+11+12</f>
        <v>30</v>
      </c>
      <c r="G50" s="19">
        <f>Table6[[#This Row],[Count ]]-Table6[[#This Row],[kjss]]</f>
        <v>331</v>
      </c>
    </row>
    <row r="51" spans="1:7" x14ac:dyDescent="0.3">
      <c r="A51" s="22" t="s">
        <v>26</v>
      </c>
      <c r="B51" s="23" t="s">
        <v>1</v>
      </c>
      <c r="C51" s="22">
        <v>2</v>
      </c>
      <c r="D51" s="23" t="s">
        <v>9</v>
      </c>
      <c r="E51" s="49">
        <v>354</v>
      </c>
      <c r="F51" s="24">
        <f>1+11+1+8+15</f>
        <v>36</v>
      </c>
      <c r="G51" s="19">
        <f>Table6[[#This Row],[Count ]]-Table6[[#This Row],[kjss]]</f>
        <v>318</v>
      </c>
    </row>
    <row r="52" spans="1:7" x14ac:dyDescent="0.3">
      <c r="A52" s="19" t="s">
        <v>26</v>
      </c>
      <c r="B52" s="18" t="s">
        <v>2</v>
      </c>
      <c r="C52" s="19">
        <v>3</v>
      </c>
      <c r="D52" s="18" t="s">
        <v>9</v>
      </c>
      <c r="E52" s="1">
        <v>296</v>
      </c>
      <c r="F52" s="21">
        <f>1+1+1+16+16</f>
        <v>35</v>
      </c>
      <c r="G52" s="19">
        <f>Table6[[#This Row],[Count ]]-Table6[[#This Row],[kjss]]</f>
        <v>261</v>
      </c>
    </row>
    <row r="53" spans="1:7" x14ac:dyDescent="0.3">
      <c r="A53" s="22" t="s">
        <v>26</v>
      </c>
      <c r="B53" s="23" t="s">
        <v>3</v>
      </c>
      <c r="C53" s="22">
        <v>4</v>
      </c>
      <c r="D53" s="23" t="s">
        <v>9</v>
      </c>
      <c r="E53" s="48">
        <v>336</v>
      </c>
      <c r="F53" s="24">
        <f>4+9+7+12</f>
        <v>32</v>
      </c>
      <c r="G53" s="19">
        <f>Table6[[#This Row],[Count ]]-Table6[[#This Row],[kjss]]</f>
        <v>304</v>
      </c>
    </row>
    <row r="54" spans="1:7" x14ac:dyDescent="0.3">
      <c r="A54" s="19" t="s">
        <v>26</v>
      </c>
      <c r="B54" s="18" t="s">
        <v>4</v>
      </c>
      <c r="C54" s="19">
        <v>5</v>
      </c>
      <c r="D54" s="18" t="s">
        <v>9</v>
      </c>
      <c r="E54" s="48">
        <v>220</v>
      </c>
      <c r="F54" s="21">
        <f>3+5+6</f>
        <v>14</v>
      </c>
      <c r="G54" s="19">
        <f>Table6[[#This Row],[Count ]]-Table6[[#This Row],[kjss]]</f>
        <v>206</v>
      </c>
    </row>
    <row r="55" spans="1:7" x14ac:dyDescent="0.3">
      <c r="A55" s="22" t="s">
        <v>26</v>
      </c>
      <c r="B55" s="23" t="s">
        <v>5</v>
      </c>
      <c r="C55" s="22">
        <v>6</v>
      </c>
      <c r="D55" s="23" t="s">
        <v>9</v>
      </c>
      <c r="E55" s="1">
        <v>266</v>
      </c>
      <c r="F55" s="24">
        <f>5+4+13+10</f>
        <v>32</v>
      </c>
      <c r="G55" s="19">
        <f>Table6[[#This Row],[Count ]]-Table6[[#This Row],[kjss]]</f>
        <v>234</v>
      </c>
    </row>
    <row r="56" spans="1:7" x14ac:dyDescent="0.3">
      <c r="A56" s="19" t="s">
        <v>26</v>
      </c>
      <c r="B56" s="18" t="s">
        <v>6</v>
      </c>
      <c r="C56" s="19">
        <v>7</v>
      </c>
      <c r="D56" s="18" t="s">
        <v>9</v>
      </c>
      <c r="E56" s="48">
        <v>183</v>
      </c>
      <c r="F56" s="21">
        <f>4+2+3+10</f>
        <v>19</v>
      </c>
      <c r="G56" s="19">
        <f>Table6[[#This Row],[Count ]]-Table6[[#This Row],[kjss]]</f>
        <v>164</v>
      </c>
    </row>
    <row r="57" spans="1:7" x14ac:dyDescent="0.3">
      <c r="A57" s="22" t="s">
        <v>26</v>
      </c>
      <c r="B57" s="23" t="s">
        <v>7</v>
      </c>
      <c r="C57" s="22">
        <v>8</v>
      </c>
      <c r="D57" s="23" t="s">
        <v>9</v>
      </c>
      <c r="E57" s="4">
        <v>212</v>
      </c>
      <c r="F57" s="24">
        <f>1+7+5+9+11</f>
        <v>33</v>
      </c>
      <c r="G57" s="19">
        <f>Table6[[#This Row],[Count ]]-Table6[[#This Row],[kjss]]</f>
        <v>179</v>
      </c>
    </row>
    <row r="58" spans="1:7" x14ac:dyDescent="0.3">
      <c r="A58" s="19" t="s">
        <v>26</v>
      </c>
      <c r="B58" s="18" t="s">
        <v>8</v>
      </c>
      <c r="C58" s="19">
        <v>9</v>
      </c>
      <c r="D58" s="18" t="s">
        <v>9</v>
      </c>
      <c r="E58" s="48">
        <v>306</v>
      </c>
      <c r="F58" s="21">
        <f>9+7+19+22</f>
        <v>57</v>
      </c>
      <c r="G58" s="19">
        <f>Table6[[#This Row],[Count ]]-Table6[[#This Row],[kjss]]</f>
        <v>249</v>
      </c>
    </row>
    <row r="59" spans="1:7" x14ac:dyDescent="0.3">
      <c r="A59" s="22" t="s">
        <v>26</v>
      </c>
      <c r="B59" s="25" t="s">
        <v>19</v>
      </c>
      <c r="C59" s="22">
        <v>10</v>
      </c>
      <c r="D59" s="23" t="s">
        <v>9</v>
      </c>
      <c r="E59" s="48">
        <v>242</v>
      </c>
      <c r="F59" s="24">
        <f>5+8+1+21+17</f>
        <v>52</v>
      </c>
      <c r="G59" s="19">
        <f>Table6[[#This Row],[Count ]]-Table6[[#This Row],[kjss]]</f>
        <v>190</v>
      </c>
    </row>
    <row r="60" spans="1:7" x14ac:dyDescent="0.3">
      <c r="A60" s="19" t="s">
        <v>26</v>
      </c>
      <c r="B60" s="26" t="s">
        <v>21</v>
      </c>
      <c r="C60" s="19">
        <v>11</v>
      </c>
      <c r="D60" s="18" t="s">
        <v>9</v>
      </c>
      <c r="E60" s="4">
        <v>393</v>
      </c>
      <c r="F60" s="21">
        <f>1+4+16+40+39</f>
        <v>100</v>
      </c>
      <c r="G60" s="19">
        <f>Table6[[#This Row],[Count ]]-Table6[[#This Row],[kjss]]</f>
        <v>293</v>
      </c>
    </row>
    <row r="61" spans="1:7" x14ac:dyDescent="0.3">
      <c r="A61" s="22" t="s">
        <v>26</v>
      </c>
      <c r="B61" s="25" t="s">
        <v>20</v>
      </c>
      <c r="C61" s="22">
        <v>12</v>
      </c>
      <c r="D61" s="23" t="s">
        <v>9</v>
      </c>
      <c r="E61" s="48">
        <v>419</v>
      </c>
      <c r="F61" s="24">
        <f>9+4+20+41+42</f>
        <v>116</v>
      </c>
      <c r="G61" s="19">
        <f>Table6[[#This Row],[Count ]]-Table6[[#This Row],[kjss]]</f>
        <v>303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08FC7-ED4A-4639-8BB3-D22627347120}">
  <dimension ref="A3:I59"/>
  <sheetViews>
    <sheetView topLeftCell="A22" workbookViewId="0">
      <selection activeCell="F44" sqref="F44"/>
    </sheetView>
  </sheetViews>
  <sheetFormatPr defaultRowHeight="14.4" x14ac:dyDescent="0.3"/>
  <cols>
    <col min="1" max="1" width="12.5546875" bestFit="1" customWidth="1"/>
    <col min="2" max="2" width="9.44140625" bestFit="1" customWidth="1"/>
    <col min="3" max="3" width="14" bestFit="1" customWidth="1"/>
    <col min="4" max="5" width="12.5546875" bestFit="1" customWidth="1"/>
    <col min="6" max="6" width="10.5546875" bestFit="1" customWidth="1"/>
    <col min="7" max="7" width="13.77734375" bestFit="1" customWidth="1"/>
    <col min="8" max="8" width="9.44140625" bestFit="1" customWidth="1"/>
    <col min="9" max="9" width="13.5546875" bestFit="1" customWidth="1"/>
    <col min="10" max="10" width="10.77734375" bestFit="1" customWidth="1"/>
  </cols>
  <sheetData>
    <row r="3" spans="1:9" x14ac:dyDescent="0.3">
      <c r="A3" s="10" t="s">
        <v>28</v>
      </c>
      <c r="B3" t="s">
        <v>37</v>
      </c>
      <c r="C3" t="s">
        <v>38</v>
      </c>
      <c r="G3" s="10" t="s">
        <v>28</v>
      </c>
      <c r="H3" t="s">
        <v>37</v>
      </c>
      <c r="I3" t="s">
        <v>39</v>
      </c>
    </row>
    <row r="4" spans="1:9" x14ac:dyDescent="0.3">
      <c r="A4" s="11" t="s">
        <v>22</v>
      </c>
      <c r="B4">
        <v>412</v>
      </c>
      <c r="C4">
        <v>3304</v>
      </c>
      <c r="G4" s="11">
        <v>1</v>
      </c>
      <c r="H4">
        <v>148</v>
      </c>
      <c r="I4">
        <v>1436</v>
      </c>
    </row>
    <row r="5" spans="1:9" x14ac:dyDescent="0.3">
      <c r="A5" s="11" t="s">
        <v>23</v>
      </c>
      <c r="B5">
        <v>573</v>
      </c>
      <c r="C5">
        <v>3733</v>
      </c>
      <c r="D5" s="32"/>
      <c r="G5" s="12" t="s">
        <v>0</v>
      </c>
      <c r="H5">
        <v>148</v>
      </c>
      <c r="I5">
        <v>1436</v>
      </c>
    </row>
    <row r="6" spans="1:9" x14ac:dyDescent="0.3">
      <c r="A6" s="11" t="s">
        <v>24</v>
      </c>
      <c r="B6">
        <v>592</v>
      </c>
      <c r="C6">
        <v>3815</v>
      </c>
      <c r="D6" s="32"/>
      <c r="G6" s="11">
        <v>2</v>
      </c>
      <c r="H6">
        <v>200</v>
      </c>
      <c r="I6">
        <v>1420</v>
      </c>
    </row>
    <row r="7" spans="1:9" x14ac:dyDescent="0.3">
      <c r="A7" s="11" t="s">
        <v>25</v>
      </c>
      <c r="B7">
        <v>563</v>
      </c>
      <c r="C7">
        <v>3580</v>
      </c>
      <c r="D7" s="32"/>
      <c r="G7" s="12" t="s">
        <v>1</v>
      </c>
      <c r="H7">
        <v>200</v>
      </c>
      <c r="I7">
        <v>1420</v>
      </c>
    </row>
    <row r="8" spans="1:9" x14ac:dyDescent="0.3">
      <c r="A8" s="11" t="s">
        <v>26</v>
      </c>
      <c r="B8">
        <v>556</v>
      </c>
      <c r="C8">
        <v>3032</v>
      </c>
      <c r="D8" s="32"/>
      <c r="G8" s="11">
        <v>3</v>
      </c>
      <c r="H8">
        <v>177</v>
      </c>
      <c r="I8">
        <v>1531</v>
      </c>
    </row>
    <row r="9" spans="1:9" x14ac:dyDescent="0.3">
      <c r="A9" s="11" t="s">
        <v>29</v>
      </c>
      <c r="B9">
        <v>2696</v>
      </c>
      <c r="C9">
        <v>17464</v>
      </c>
      <c r="G9" s="12" t="s">
        <v>2</v>
      </c>
      <c r="H9">
        <v>177</v>
      </c>
      <c r="I9">
        <v>1531</v>
      </c>
    </row>
    <row r="10" spans="1:9" x14ac:dyDescent="0.3">
      <c r="G10" s="11">
        <v>4</v>
      </c>
      <c r="H10">
        <v>170</v>
      </c>
      <c r="I10">
        <v>1592</v>
      </c>
    </row>
    <row r="11" spans="1:9" x14ac:dyDescent="0.3">
      <c r="G11" s="12" t="s">
        <v>3</v>
      </c>
      <c r="H11">
        <v>170</v>
      </c>
      <c r="I11">
        <v>1592</v>
      </c>
    </row>
    <row r="12" spans="1:9" x14ac:dyDescent="0.3">
      <c r="G12" s="11">
        <v>5</v>
      </c>
      <c r="H12">
        <v>196</v>
      </c>
      <c r="I12">
        <v>1257</v>
      </c>
    </row>
    <row r="13" spans="1:9" x14ac:dyDescent="0.3">
      <c r="G13" s="12" t="s">
        <v>4</v>
      </c>
      <c r="H13">
        <v>196</v>
      </c>
      <c r="I13">
        <v>1257</v>
      </c>
    </row>
    <row r="14" spans="1:9" x14ac:dyDescent="0.3">
      <c r="G14" s="11">
        <v>6</v>
      </c>
      <c r="H14">
        <v>142</v>
      </c>
      <c r="I14">
        <v>1531</v>
      </c>
    </row>
    <row r="15" spans="1:9" x14ac:dyDescent="0.3">
      <c r="G15" s="12" t="s">
        <v>5</v>
      </c>
      <c r="H15">
        <v>142</v>
      </c>
      <c r="I15">
        <v>1531</v>
      </c>
    </row>
    <row r="16" spans="1:9" x14ac:dyDescent="0.3">
      <c r="G16" s="11">
        <v>7</v>
      </c>
      <c r="H16">
        <v>139</v>
      </c>
      <c r="I16">
        <v>1240</v>
      </c>
    </row>
    <row r="17" spans="7:9" x14ac:dyDescent="0.3">
      <c r="G17" s="12" t="s">
        <v>6</v>
      </c>
      <c r="H17">
        <v>139</v>
      </c>
      <c r="I17">
        <v>1240</v>
      </c>
    </row>
    <row r="18" spans="7:9" x14ac:dyDescent="0.3">
      <c r="G18" s="11">
        <v>8</v>
      </c>
      <c r="H18">
        <v>146</v>
      </c>
      <c r="I18">
        <v>1154</v>
      </c>
    </row>
    <row r="19" spans="7:9" x14ac:dyDescent="0.3">
      <c r="G19" s="12" t="s">
        <v>7</v>
      </c>
      <c r="H19">
        <v>146</v>
      </c>
      <c r="I19">
        <v>1154</v>
      </c>
    </row>
    <row r="20" spans="7:9" x14ac:dyDescent="0.3">
      <c r="G20" s="11">
        <v>9</v>
      </c>
      <c r="H20">
        <v>212</v>
      </c>
      <c r="I20">
        <v>1457</v>
      </c>
    </row>
    <row r="21" spans="7:9" x14ac:dyDescent="0.3">
      <c r="G21" s="12" t="s">
        <v>8</v>
      </c>
      <c r="H21">
        <v>212</v>
      </c>
      <c r="I21">
        <v>1457</v>
      </c>
    </row>
    <row r="22" spans="7:9" x14ac:dyDescent="0.3">
      <c r="G22" s="11">
        <v>10</v>
      </c>
      <c r="H22">
        <v>192</v>
      </c>
      <c r="I22">
        <v>1184</v>
      </c>
    </row>
    <row r="23" spans="7:9" x14ac:dyDescent="0.3">
      <c r="G23" s="12" t="s">
        <v>19</v>
      </c>
      <c r="H23">
        <v>192</v>
      </c>
      <c r="I23">
        <v>1184</v>
      </c>
    </row>
    <row r="24" spans="7:9" x14ac:dyDescent="0.3">
      <c r="G24" s="11">
        <v>11</v>
      </c>
      <c r="H24">
        <v>332</v>
      </c>
      <c r="I24">
        <v>1647</v>
      </c>
    </row>
    <row r="25" spans="7:9" x14ac:dyDescent="0.3">
      <c r="G25" s="12" t="s">
        <v>21</v>
      </c>
      <c r="H25">
        <v>332</v>
      </c>
      <c r="I25">
        <v>1647</v>
      </c>
    </row>
    <row r="26" spans="7:9" x14ac:dyDescent="0.3">
      <c r="G26" s="11">
        <v>12</v>
      </c>
      <c r="H26">
        <v>642</v>
      </c>
      <c r="I26">
        <v>2015</v>
      </c>
    </row>
    <row r="27" spans="7:9" x14ac:dyDescent="0.3">
      <c r="G27" s="12" t="s">
        <v>20</v>
      </c>
      <c r="H27">
        <v>642</v>
      </c>
      <c r="I27">
        <v>2015</v>
      </c>
    </row>
    <row r="28" spans="7:9" x14ac:dyDescent="0.3">
      <c r="G28" s="11" t="s">
        <v>29</v>
      </c>
      <c r="H28">
        <v>2696</v>
      </c>
      <c r="I28">
        <v>17464</v>
      </c>
    </row>
    <row r="38" spans="1:5" x14ac:dyDescent="0.3">
      <c r="A38" t="s">
        <v>44</v>
      </c>
      <c r="B38" t="s">
        <v>45</v>
      </c>
      <c r="C38" t="s">
        <v>46</v>
      </c>
    </row>
    <row r="39" spans="1:5" x14ac:dyDescent="0.3">
      <c r="A39" s="11" t="s">
        <v>22</v>
      </c>
      <c r="B39" t="s">
        <v>35</v>
      </c>
      <c r="C39">
        <v>412</v>
      </c>
    </row>
    <row r="40" spans="1:5" x14ac:dyDescent="0.3">
      <c r="A40" s="11" t="s">
        <v>22</v>
      </c>
      <c r="B40" t="s">
        <v>36</v>
      </c>
      <c r="C40">
        <v>3304</v>
      </c>
    </row>
    <row r="41" spans="1:5" x14ac:dyDescent="0.3">
      <c r="A41" s="11" t="s">
        <v>23</v>
      </c>
      <c r="B41" t="s">
        <v>35</v>
      </c>
      <c r="C41">
        <v>573</v>
      </c>
    </row>
    <row r="42" spans="1:5" x14ac:dyDescent="0.3">
      <c r="A42" s="11" t="s">
        <v>23</v>
      </c>
      <c r="B42" t="s">
        <v>36</v>
      </c>
      <c r="C42">
        <v>3733</v>
      </c>
    </row>
    <row r="43" spans="1:5" x14ac:dyDescent="0.3">
      <c r="A43" s="11" t="s">
        <v>24</v>
      </c>
      <c r="B43" t="s">
        <v>35</v>
      </c>
      <c r="C43">
        <v>592</v>
      </c>
    </row>
    <row r="44" spans="1:5" x14ac:dyDescent="0.3">
      <c r="A44" s="11" t="s">
        <v>24</v>
      </c>
      <c r="B44" t="s">
        <v>36</v>
      </c>
      <c r="C44">
        <v>3815</v>
      </c>
    </row>
    <row r="45" spans="1:5" x14ac:dyDescent="0.3">
      <c r="A45" s="11" t="s">
        <v>25</v>
      </c>
      <c r="B45" t="s">
        <v>35</v>
      </c>
      <c r="C45">
        <v>563</v>
      </c>
    </row>
    <row r="46" spans="1:5" x14ac:dyDescent="0.3">
      <c r="A46" s="11" t="s">
        <v>25</v>
      </c>
      <c r="B46" t="s">
        <v>36</v>
      </c>
      <c r="C46">
        <v>3580</v>
      </c>
      <c r="D46" s="33"/>
      <c r="E46" s="34"/>
    </row>
    <row r="47" spans="1:5" x14ac:dyDescent="0.3">
      <c r="A47" s="11" t="s">
        <v>26</v>
      </c>
      <c r="B47" t="s">
        <v>35</v>
      </c>
      <c r="C47">
        <v>556</v>
      </c>
      <c r="D47" s="35"/>
      <c r="E47" s="36"/>
    </row>
    <row r="48" spans="1:5" x14ac:dyDescent="0.3">
      <c r="A48" s="11" t="s">
        <v>26</v>
      </c>
      <c r="B48" t="s">
        <v>36</v>
      </c>
      <c r="C48">
        <v>3032</v>
      </c>
    </row>
    <row r="56" spans="7:8" x14ac:dyDescent="0.3">
      <c r="G56" s="10" t="s">
        <v>28</v>
      </c>
      <c r="H56" t="s">
        <v>47</v>
      </c>
    </row>
    <row r="57" spans="7:8" x14ac:dyDescent="0.3">
      <c r="G57" s="11" t="s">
        <v>35</v>
      </c>
      <c r="H57">
        <v>2696</v>
      </c>
    </row>
    <row r="58" spans="7:8" x14ac:dyDescent="0.3">
      <c r="G58" s="11" t="s">
        <v>36</v>
      </c>
      <c r="H58">
        <v>17464</v>
      </c>
    </row>
    <row r="59" spans="7:8" x14ac:dyDescent="0.3">
      <c r="G59" s="11" t="s">
        <v>29</v>
      </c>
      <c r="H59">
        <v>20160</v>
      </c>
    </row>
  </sheetData>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7310A-EB8E-4725-811B-C4EF42A4C0FB}">
  <dimension ref="A1"/>
  <sheetViews>
    <sheetView showGridLines="0"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0EAC0-3F06-4FE3-A9D7-1F2D709008C1}">
  <dimension ref="A1:G61"/>
  <sheetViews>
    <sheetView workbookViewId="0">
      <selection activeCell="F61" sqref="F1:F61"/>
    </sheetView>
  </sheetViews>
  <sheetFormatPr defaultRowHeight="14.4" x14ac:dyDescent="0.3"/>
  <cols>
    <col min="3" max="3" width="13.21875" customWidth="1"/>
    <col min="4" max="4" width="9.33203125" customWidth="1"/>
    <col min="7" max="7" width="9.77734375" customWidth="1"/>
  </cols>
  <sheetData>
    <row r="1" spans="1:7" ht="15" thickBot="1" x14ac:dyDescent="0.35">
      <c r="A1" s="14" t="s">
        <v>32</v>
      </c>
      <c r="B1" s="38" t="s">
        <v>27</v>
      </c>
      <c r="C1" s="38" t="s">
        <v>30</v>
      </c>
      <c r="D1" s="38" t="s">
        <v>33</v>
      </c>
      <c r="E1" s="38" t="s">
        <v>34</v>
      </c>
      <c r="F1" s="38" t="s">
        <v>35</v>
      </c>
      <c r="G1" s="37" t="s">
        <v>36</v>
      </c>
    </row>
    <row r="2" spans="1:7" ht="15" thickTop="1" x14ac:dyDescent="0.3">
      <c r="A2" s="29" t="s">
        <v>22</v>
      </c>
      <c r="B2" s="30" t="s">
        <v>0</v>
      </c>
      <c r="C2" s="31">
        <v>1</v>
      </c>
      <c r="D2" s="20" t="s">
        <v>18</v>
      </c>
      <c r="E2" s="1">
        <v>0</v>
      </c>
      <c r="F2" s="18">
        <v>0</v>
      </c>
      <c r="G2" s="18">
        <v>0</v>
      </c>
    </row>
    <row r="3" spans="1:7" x14ac:dyDescent="0.3">
      <c r="A3" s="22" t="s">
        <v>22</v>
      </c>
      <c r="B3" s="25" t="s">
        <v>1</v>
      </c>
      <c r="C3" s="22">
        <v>2</v>
      </c>
      <c r="D3" s="23" t="s">
        <v>18</v>
      </c>
      <c r="E3" s="1">
        <v>0</v>
      </c>
      <c r="F3" s="23">
        <v>0</v>
      </c>
      <c r="G3" s="23">
        <v>0</v>
      </c>
    </row>
    <row r="4" spans="1:7" x14ac:dyDescent="0.3">
      <c r="A4" s="19" t="s">
        <v>22</v>
      </c>
      <c r="B4" s="26" t="s">
        <v>2</v>
      </c>
      <c r="C4" s="19">
        <v>3</v>
      </c>
      <c r="D4" s="18" t="s">
        <v>18</v>
      </c>
      <c r="E4" s="1">
        <v>0</v>
      </c>
      <c r="F4" s="18">
        <v>0</v>
      </c>
      <c r="G4" s="18">
        <v>0</v>
      </c>
    </row>
    <row r="5" spans="1:7" x14ac:dyDescent="0.3">
      <c r="A5" s="22" t="s">
        <v>22</v>
      </c>
      <c r="B5" s="25" t="s">
        <v>3</v>
      </c>
      <c r="C5" s="22">
        <v>4</v>
      </c>
      <c r="D5" s="23" t="s">
        <v>18</v>
      </c>
      <c r="E5" s="1">
        <v>0</v>
      </c>
      <c r="F5" s="23">
        <v>0</v>
      </c>
      <c r="G5" s="23">
        <v>0</v>
      </c>
    </row>
    <row r="6" spans="1:7" x14ac:dyDescent="0.3">
      <c r="A6" s="19" t="s">
        <v>22</v>
      </c>
      <c r="B6" s="26" t="s">
        <v>4</v>
      </c>
      <c r="C6" s="19">
        <v>5</v>
      </c>
      <c r="D6" s="18" t="s">
        <v>18</v>
      </c>
      <c r="E6" s="1">
        <v>0</v>
      </c>
      <c r="F6" s="18">
        <v>0</v>
      </c>
      <c r="G6" s="18">
        <v>0</v>
      </c>
    </row>
    <row r="7" spans="1:7" x14ac:dyDescent="0.3">
      <c r="A7" s="22" t="s">
        <v>22</v>
      </c>
      <c r="B7" s="25" t="s">
        <v>5</v>
      </c>
      <c r="C7" s="22">
        <v>6</v>
      </c>
      <c r="D7" s="23" t="s">
        <v>18</v>
      </c>
      <c r="E7" s="1">
        <v>0</v>
      </c>
      <c r="F7" s="23">
        <v>0</v>
      </c>
      <c r="G7" s="23">
        <v>0</v>
      </c>
    </row>
    <row r="8" spans="1:7" x14ac:dyDescent="0.3">
      <c r="A8" s="19" t="s">
        <v>22</v>
      </c>
      <c r="B8" s="26" t="s">
        <v>6</v>
      </c>
      <c r="C8" s="19">
        <v>7</v>
      </c>
      <c r="D8" s="18" t="s">
        <v>18</v>
      </c>
      <c r="E8" s="1">
        <v>0</v>
      </c>
      <c r="F8" s="18">
        <v>0</v>
      </c>
      <c r="G8" s="18">
        <v>0</v>
      </c>
    </row>
    <row r="9" spans="1:7" x14ac:dyDescent="0.3">
      <c r="A9" s="22" t="s">
        <v>22</v>
      </c>
      <c r="B9" s="25" t="s">
        <v>7</v>
      </c>
      <c r="C9" s="22">
        <v>8</v>
      </c>
      <c r="D9" s="23" t="s">
        <v>18</v>
      </c>
      <c r="E9" s="1">
        <v>0</v>
      </c>
      <c r="F9" s="23">
        <v>0</v>
      </c>
      <c r="G9" s="23">
        <v>0</v>
      </c>
    </row>
    <row r="10" spans="1:7" x14ac:dyDescent="0.3">
      <c r="A10" s="19" t="s">
        <v>22</v>
      </c>
      <c r="B10" s="26" t="s">
        <v>8</v>
      </c>
      <c r="C10" s="19">
        <v>9</v>
      </c>
      <c r="D10" s="18" t="s">
        <v>18</v>
      </c>
      <c r="E10" s="1">
        <v>0</v>
      </c>
      <c r="F10" s="18">
        <v>0</v>
      </c>
      <c r="G10" s="18">
        <v>0</v>
      </c>
    </row>
    <row r="11" spans="1:7" x14ac:dyDescent="0.3">
      <c r="A11" s="22" t="s">
        <v>22</v>
      </c>
      <c r="B11" s="25" t="s">
        <v>19</v>
      </c>
      <c r="C11" s="22">
        <v>10</v>
      </c>
      <c r="D11" s="23" t="s">
        <v>18</v>
      </c>
      <c r="E11" s="8">
        <v>0</v>
      </c>
      <c r="F11" s="25">
        <v>0</v>
      </c>
      <c r="G11" s="25">
        <v>0</v>
      </c>
    </row>
    <row r="12" spans="1:7" x14ac:dyDescent="0.3">
      <c r="A12" s="19" t="s">
        <v>22</v>
      </c>
      <c r="B12" s="26" t="s">
        <v>21</v>
      </c>
      <c r="C12" s="19">
        <v>11</v>
      </c>
      <c r="D12" s="18" t="s">
        <v>18</v>
      </c>
      <c r="E12" s="8">
        <v>0</v>
      </c>
      <c r="F12" s="26">
        <v>0</v>
      </c>
      <c r="G12" s="26">
        <v>0</v>
      </c>
    </row>
    <row r="13" spans="1:7" x14ac:dyDescent="0.3">
      <c r="A13" s="22" t="s">
        <v>22</v>
      </c>
      <c r="B13" s="25" t="s">
        <v>20</v>
      </c>
      <c r="C13" s="22">
        <v>12</v>
      </c>
      <c r="D13" s="23" t="s">
        <v>18</v>
      </c>
      <c r="E13" s="8">
        <v>0</v>
      </c>
      <c r="F13" s="27">
        <v>0</v>
      </c>
      <c r="G13" s="27">
        <v>0</v>
      </c>
    </row>
    <row r="14" spans="1:7" x14ac:dyDescent="0.3">
      <c r="A14" s="17" t="s">
        <v>23</v>
      </c>
      <c r="B14" s="26" t="s">
        <v>0</v>
      </c>
      <c r="C14" s="19">
        <v>1</v>
      </c>
      <c r="D14" s="18" t="s">
        <v>18</v>
      </c>
      <c r="E14" s="1">
        <v>0</v>
      </c>
      <c r="F14" s="18">
        <v>0</v>
      </c>
      <c r="G14" s="18">
        <v>0</v>
      </c>
    </row>
    <row r="15" spans="1:7" x14ac:dyDescent="0.3">
      <c r="A15" s="22" t="s">
        <v>23</v>
      </c>
      <c r="B15" s="25" t="s">
        <v>1</v>
      </c>
      <c r="C15" s="22">
        <v>2</v>
      </c>
      <c r="D15" s="23" t="s">
        <v>18</v>
      </c>
      <c r="E15" s="48">
        <v>0</v>
      </c>
      <c r="F15" s="23">
        <v>0</v>
      </c>
      <c r="G15" s="23">
        <v>0</v>
      </c>
    </row>
    <row r="16" spans="1:7" x14ac:dyDescent="0.3">
      <c r="A16" s="19" t="s">
        <v>23</v>
      </c>
      <c r="B16" s="26" t="s">
        <v>2</v>
      </c>
      <c r="C16" s="19">
        <v>3</v>
      </c>
      <c r="D16" s="18" t="s">
        <v>18</v>
      </c>
      <c r="E16" s="1">
        <v>4</v>
      </c>
      <c r="F16" s="21">
        <v>1</v>
      </c>
      <c r="G16" s="19">
        <f>E16-F16</f>
        <v>3</v>
      </c>
    </row>
    <row r="17" spans="1:7" x14ac:dyDescent="0.3">
      <c r="A17" s="22" t="s">
        <v>23</v>
      </c>
      <c r="B17" s="25" t="s">
        <v>3</v>
      </c>
      <c r="C17" s="22">
        <v>4</v>
      </c>
      <c r="D17" s="23" t="s">
        <v>18</v>
      </c>
      <c r="E17" s="48">
        <v>21</v>
      </c>
      <c r="F17" s="24">
        <v>4</v>
      </c>
      <c r="G17" s="19">
        <f t="shared" ref="G17:G61" si="0">E17-F17</f>
        <v>17</v>
      </c>
    </row>
    <row r="18" spans="1:7" x14ac:dyDescent="0.3">
      <c r="A18" s="19" t="s">
        <v>23</v>
      </c>
      <c r="B18" s="26" t="s">
        <v>4</v>
      </c>
      <c r="C18" s="19">
        <v>5</v>
      </c>
      <c r="D18" s="18" t="s">
        <v>18</v>
      </c>
      <c r="E18" s="49">
        <v>22</v>
      </c>
      <c r="F18" s="21">
        <v>5</v>
      </c>
      <c r="G18" s="19">
        <f t="shared" si="0"/>
        <v>17</v>
      </c>
    </row>
    <row r="19" spans="1:7" x14ac:dyDescent="0.3">
      <c r="A19" s="22" t="s">
        <v>23</v>
      </c>
      <c r="B19" s="25" t="s">
        <v>5</v>
      </c>
      <c r="C19" s="22">
        <v>6</v>
      </c>
      <c r="D19" s="23" t="s">
        <v>18</v>
      </c>
      <c r="E19" s="1">
        <v>66</v>
      </c>
      <c r="F19" s="24">
        <v>48</v>
      </c>
      <c r="G19" s="19">
        <f t="shared" si="0"/>
        <v>18</v>
      </c>
    </row>
    <row r="20" spans="1:7" x14ac:dyDescent="0.3">
      <c r="A20" s="19" t="s">
        <v>23</v>
      </c>
      <c r="B20" s="26" t="s">
        <v>6</v>
      </c>
      <c r="C20" s="19">
        <v>7</v>
      </c>
      <c r="D20" s="18" t="s">
        <v>18</v>
      </c>
      <c r="E20" s="48">
        <v>84</v>
      </c>
      <c r="F20" s="21">
        <v>70</v>
      </c>
      <c r="G20" s="19">
        <f t="shared" si="0"/>
        <v>14</v>
      </c>
    </row>
    <row r="21" spans="1:7" x14ac:dyDescent="0.3">
      <c r="A21" s="22" t="s">
        <v>23</v>
      </c>
      <c r="B21" s="25" t="s">
        <v>7</v>
      </c>
      <c r="C21" s="22">
        <v>8</v>
      </c>
      <c r="D21" s="23" t="s">
        <v>18</v>
      </c>
      <c r="E21" s="1">
        <v>16</v>
      </c>
      <c r="F21" s="24">
        <v>0</v>
      </c>
      <c r="G21" s="19">
        <f t="shared" si="0"/>
        <v>16</v>
      </c>
    </row>
    <row r="22" spans="1:7" x14ac:dyDescent="0.3">
      <c r="A22" s="19" t="s">
        <v>23</v>
      </c>
      <c r="B22" s="26" t="s">
        <v>8</v>
      </c>
      <c r="C22" s="19">
        <v>9</v>
      </c>
      <c r="D22" s="18" t="s">
        <v>18</v>
      </c>
      <c r="E22" s="48">
        <v>13</v>
      </c>
      <c r="F22" s="21">
        <v>2</v>
      </c>
      <c r="G22" s="19">
        <f t="shared" si="0"/>
        <v>11</v>
      </c>
    </row>
    <row r="23" spans="1:7" x14ac:dyDescent="0.3">
      <c r="A23" s="22" t="s">
        <v>23</v>
      </c>
      <c r="B23" s="25" t="s">
        <v>19</v>
      </c>
      <c r="C23" s="22">
        <v>10</v>
      </c>
      <c r="D23" s="23" t="s">
        <v>18</v>
      </c>
      <c r="E23" s="48">
        <v>14</v>
      </c>
      <c r="F23" s="24">
        <v>5</v>
      </c>
      <c r="G23" s="19">
        <f t="shared" si="0"/>
        <v>9</v>
      </c>
    </row>
    <row r="24" spans="1:7" x14ac:dyDescent="0.3">
      <c r="A24" s="19" t="s">
        <v>23</v>
      </c>
      <c r="B24" s="26" t="s">
        <v>21</v>
      </c>
      <c r="C24" s="19">
        <v>11</v>
      </c>
      <c r="D24" s="18" t="s">
        <v>18</v>
      </c>
      <c r="E24" s="1">
        <v>21</v>
      </c>
      <c r="F24" s="21">
        <v>7</v>
      </c>
      <c r="G24" s="19">
        <f t="shared" si="0"/>
        <v>14</v>
      </c>
    </row>
    <row r="25" spans="1:7" x14ac:dyDescent="0.3">
      <c r="A25" s="22" t="s">
        <v>23</v>
      </c>
      <c r="B25" s="25" t="s">
        <v>20</v>
      </c>
      <c r="C25" s="22">
        <v>12</v>
      </c>
      <c r="D25" s="23" t="s">
        <v>18</v>
      </c>
      <c r="E25" s="48">
        <v>26</v>
      </c>
      <c r="F25" s="24">
        <v>7</v>
      </c>
      <c r="G25" s="19">
        <f t="shared" si="0"/>
        <v>19</v>
      </c>
    </row>
    <row r="26" spans="1:7" x14ac:dyDescent="0.3">
      <c r="A26" s="17" t="s">
        <v>24</v>
      </c>
      <c r="B26" s="26" t="s">
        <v>0</v>
      </c>
      <c r="C26" s="19">
        <v>1</v>
      </c>
      <c r="D26" s="18" t="s">
        <v>18</v>
      </c>
      <c r="E26" s="4">
        <v>25</v>
      </c>
      <c r="F26" s="21">
        <v>5</v>
      </c>
      <c r="G26" s="19">
        <f t="shared" si="0"/>
        <v>20</v>
      </c>
    </row>
    <row r="27" spans="1:7" x14ac:dyDescent="0.3">
      <c r="A27" s="22" t="s">
        <v>24</v>
      </c>
      <c r="B27" s="25" t="s">
        <v>1</v>
      </c>
      <c r="C27" s="22">
        <v>2</v>
      </c>
      <c r="D27" s="23" t="s">
        <v>18</v>
      </c>
      <c r="E27" s="49">
        <v>28</v>
      </c>
      <c r="F27" s="24">
        <v>4</v>
      </c>
      <c r="G27" s="19">
        <f t="shared" si="0"/>
        <v>24</v>
      </c>
    </row>
    <row r="28" spans="1:7" x14ac:dyDescent="0.3">
      <c r="A28" s="19" t="s">
        <v>24</v>
      </c>
      <c r="B28" s="26" t="s">
        <v>2</v>
      </c>
      <c r="C28" s="19">
        <v>3</v>
      </c>
      <c r="D28" s="18" t="s">
        <v>18</v>
      </c>
      <c r="E28" s="1">
        <v>38</v>
      </c>
      <c r="F28" s="21">
        <v>3</v>
      </c>
      <c r="G28" s="19">
        <f t="shared" si="0"/>
        <v>35</v>
      </c>
    </row>
    <row r="29" spans="1:7" x14ac:dyDescent="0.3">
      <c r="A29" s="22" t="s">
        <v>24</v>
      </c>
      <c r="B29" s="25" t="s">
        <v>3</v>
      </c>
      <c r="C29" s="22">
        <v>4</v>
      </c>
      <c r="D29" s="23" t="s">
        <v>18</v>
      </c>
      <c r="E29" s="49">
        <v>29</v>
      </c>
      <c r="F29" s="24">
        <v>2</v>
      </c>
      <c r="G29" s="19">
        <f t="shared" si="0"/>
        <v>27</v>
      </c>
    </row>
    <row r="30" spans="1:7" x14ac:dyDescent="0.3">
      <c r="A30" s="19" t="s">
        <v>24</v>
      </c>
      <c r="B30" s="26" t="s">
        <v>4</v>
      </c>
      <c r="C30" s="19">
        <v>5</v>
      </c>
      <c r="D30" s="18" t="s">
        <v>18</v>
      </c>
      <c r="E30" s="48">
        <v>15</v>
      </c>
      <c r="F30" s="21">
        <v>0</v>
      </c>
      <c r="G30" s="19">
        <f t="shared" si="0"/>
        <v>15</v>
      </c>
    </row>
    <row r="31" spans="1:7" x14ac:dyDescent="0.3">
      <c r="A31" s="22" t="s">
        <v>24</v>
      </c>
      <c r="B31" s="25" t="s">
        <v>5</v>
      </c>
      <c r="C31" s="22">
        <v>6</v>
      </c>
      <c r="D31" s="23" t="s">
        <v>18</v>
      </c>
      <c r="E31" s="1">
        <v>32</v>
      </c>
      <c r="F31" s="24">
        <v>4</v>
      </c>
      <c r="G31" s="19">
        <f t="shared" si="0"/>
        <v>28</v>
      </c>
    </row>
    <row r="32" spans="1:7" x14ac:dyDescent="0.3">
      <c r="A32" s="19" t="s">
        <v>24</v>
      </c>
      <c r="B32" s="26" t="s">
        <v>6</v>
      </c>
      <c r="C32" s="19">
        <v>7</v>
      </c>
      <c r="D32" s="18" t="s">
        <v>18</v>
      </c>
      <c r="E32" s="48">
        <v>73</v>
      </c>
      <c r="F32" s="21">
        <v>52</v>
      </c>
      <c r="G32" s="19">
        <f t="shared" si="0"/>
        <v>21</v>
      </c>
    </row>
    <row r="33" spans="1:7" x14ac:dyDescent="0.3">
      <c r="A33" s="22" t="s">
        <v>24</v>
      </c>
      <c r="B33" s="25" t="s">
        <v>7</v>
      </c>
      <c r="C33" s="22">
        <v>8</v>
      </c>
      <c r="D33" s="23" t="s">
        <v>18</v>
      </c>
      <c r="E33" s="1">
        <v>24</v>
      </c>
      <c r="F33" s="24">
        <v>10</v>
      </c>
      <c r="G33" s="19">
        <f t="shared" si="0"/>
        <v>14</v>
      </c>
    </row>
    <row r="34" spans="1:7" x14ac:dyDescent="0.3">
      <c r="A34" s="19" t="s">
        <v>24</v>
      </c>
      <c r="B34" s="26" t="s">
        <v>8</v>
      </c>
      <c r="C34" s="19">
        <v>9</v>
      </c>
      <c r="D34" s="18" t="s">
        <v>18</v>
      </c>
      <c r="E34" s="48">
        <v>26</v>
      </c>
      <c r="F34" s="21">
        <v>3</v>
      </c>
      <c r="G34" s="19">
        <f t="shared" si="0"/>
        <v>23</v>
      </c>
    </row>
    <row r="35" spans="1:7" x14ac:dyDescent="0.3">
      <c r="A35" s="22" t="s">
        <v>24</v>
      </c>
      <c r="B35" s="25" t="s">
        <v>19</v>
      </c>
      <c r="C35" s="22">
        <v>10</v>
      </c>
      <c r="D35" s="23" t="s">
        <v>18</v>
      </c>
      <c r="E35" s="48">
        <v>18</v>
      </c>
      <c r="F35" s="24">
        <v>2</v>
      </c>
      <c r="G35" s="19">
        <f t="shared" si="0"/>
        <v>16</v>
      </c>
    </row>
    <row r="36" spans="1:7" x14ac:dyDescent="0.3">
      <c r="A36" s="19" t="s">
        <v>24</v>
      </c>
      <c r="B36" s="26" t="s">
        <v>21</v>
      </c>
      <c r="C36" s="19">
        <v>11</v>
      </c>
      <c r="D36" s="18" t="s">
        <v>18</v>
      </c>
      <c r="E36" s="1">
        <v>39</v>
      </c>
      <c r="F36" s="21">
        <v>8</v>
      </c>
      <c r="G36" s="19">
        <f t="shared" si="0"/>
        <v>31</v>
      </c>
    </row>
    <row r="37" spans="1:7" x14ac:dyDescent="0.3">
      <c r="A37" s="22" t="s">
        <v>24</v>
      </c>
      <c r="B37" s="25" t="s">
        <v>20</v>
      </c>
      <c r="C37" s="22">
        <v>12</v>
      </c>
      <c r="D37" s="23" t="s">
        <v>18</v>
      </c>
      <c r="E37" s="48">
        <v>43</v>
      </c>
      <c r="F37" s="24">
        <v>9</v>
      </c>
      <c r="G37" s="19">
        <f t="shared" si="0"/>
        <v>34</v>
      </c>
    </row>
    <row r="38" spans="1:7" x14ac:dyDescent="0.3">
      <c r="A38" s="17" t="s">
        <v>25</v>
      </c>
      <c r="B38" s="26" t="s">
        <v>0</v>
      </c>
      <c r="C38" s="19">
        <v>1</v>
      </c>
      <c r="D38" s="18" t="s">
        <v>18</v>
      </c>
      <c r="E38" s="4">
        <v>29</v>
      </c>
      <c r="F38" s="21">
        <v>1</v>
      </c>
      <c r="G38" s="19">
        <f t="shared" si="0"/>
        <v>28</v>
      </c>
    </row>
    <row r="39" spans="1:7" x14ac:dyDescent="0.3">
      <c r="A39" s="22" t="s">
        <v>25</v>
      </c>
      <c r="B39" s="25" t="s">
        <v>1</v>
      </c>
      <c r="C39" s="22">
        <v>2</v>
      </c>
      <c r="D39" s="23" t="s">
        <v>18</v>
      </c>
      <c r="E39" s="49">
        <v>31</v>
      </c>
      <c r="F39" s="24">
        <v>1</v>
      </c>
      <c r="G39" s="19">
        <f t="shared" si="0"/>
        <v>30</v>
      </c>
    </row>
    <row r="40" spans="1:7" x14ac:dyDescent="0.3">
      <c r="A40" s="19" t="s">
        <v>25</v>
      </c>
      <c r="B40" s="26" t="s">
        <v>2</v>
      </c>
      <c r="C40" s="19">
        <v>3</v>
      </c>
      <c r="D40" s="18" t="s">
        <v>18</v>
      </c>
      <c r="E40" s="1">
        <v>25</v>
      </c>
      <c r="F40" s="21">
        <v>2</v>
      </c>
      <c r="G40" s="19">
        <f t="shared" si="0"/>
        <v>23</v>
      </c>
    </row>
    <row r="41" spans="1:7" x14ac:dyDescent="0.3">
      <c r="A41" s="22" t="s">
        <v>25</v>
      </c>
      <c r="B41" s="25" t="s">
        <v>3</v>
      </c>
      <c r="C41" s="22">
        <v>4</v>
      </c>
      <c r="D41" s="23" t="s">
        <v>18</v>
      </c>
      <c r="E41" s="49">
        <v>41</v>
      </c>
      <c r="F41" s="24">
        <v>4</v>
      </c>
      <c r="G41" s="19">
        <f t="shared" si="0"/>
        <v>37</v>
      </c>
    </row>
    <row r="42" spans="1:7" x14ac:dyDescent="0.3">
      <c r="A42" s="19" t="s">
        <v>25</v>
      </c>
      <c r="B42" s="26" t="s">
        <v>4</v>
      </c>
      <c r="C42" s="19">
        <v>5</v>
      </c>
      <c r="D42" s="18" t="s">
        <v>18</v>
      </c>
      <c r="E42" s="49">
        <v>36</v>
      </c>
      <c r="F42" s="21">
        <v>1</v>
      </c>
      <c r="G42" s="19">
        <f t="shared" si="0"/>
        <v>35</v>
      </c>
    </row>
    <row r="43" spans="1:7" x14ac:dyDescent="0.3">
      <c r="A43" s="22" t="s">
        <v>25</v>
      </c>
      <c r="B43" s="25" t="s">
        <v>5</v>
      </c>
      <c r="C43" s="22">
        <v>6</v>
      </c>
      <c r="D43" s="23" t="s">
        <v>18</v>
      </c>
      <c r="E43" s="1">
        <v>75</v>
      </c>
      <c r="F43" s="24">
        <v>5</v>
      </c>
      <c r="G43" s="19">
        <f t="shared" si="0"/>
        <v>70</v>
      </c>
    </row>
    <row r="44" spans="1:7" x14ac:dyDescent="0.3">
      <c r="A44" s="19" t="s">
        <v>25</v>
      </c>
      <c r="B44" s="26" t="s">
        <v>6</v>
      </c>
      <c r="C44" s="19">
        <v>7</v>
      </c>
      <c r="D44" s="18" t="s">
        <v>18</v>
      </c>
      <c r="E44" s="48">
        <v>59</v>
      </c>
      <c r="F44" s="21">
        <v>3</v>
      </c>
      <c r="G44" s="19">
        <f t="shared" si="0"/>
        <v>56</v>
      </c>
    </row>
    <row r="45" spans="1:7" x14ac:dyDescent="0.3">
      <c r="A45" s="22" t="s">
        <v>25</v>
      </c>
      <c r="B45" s="25" t="s">
        <v>7</v>
      </c>
      <c r="C45" s="22">
        <v>8</v>
      </c>
      <c r="D45" s="23" t="s">
        <v>18</v>
      </c>
      <c r="E45" s="1">
        <v>39</v>
      </c>
      <c r="F45" s="24">
        <v>4</v>
      </c>
      <c r="G45" s="19">
        <f t="shared" si="0"/>
        <v>35</v>
      </c>
    </row>
    <row r="46" spans="1:7" x14ac:dyDescent="0.3">
      <c r="A46" s="19" t="s">
        <v>25</v>
      </c>
      <c r="B46" s="26" t="s">
        <v>8</v>
      </c>
      <c r="C46" s="19">
        <v>9</v>
      </c>
      <c r="D46" s="18" t="s">
        <v>18</v>
      </c>
      <c r="E46" s="48">
        <v>33</v>
      </c>
      <c r="F46" s="21">
        <v>7</v>
      </c>
      <c r="G46" s="19">
        <f t="shared" si="0"/>
        <v>26</v>
      </c>
    </row>
    <row r="47" spans="1:7" x14ac:dyDescent="0.3">
      <c r="A47" s="22" t="s">
        <v>25</v>
      </c>
      <c r="B47" s="25" t="s">
        <v>19</v>
      </c>
      <c r="C47" s="22">
        <v>10</v>
      </c>
      <c r="D47" s="23" t="s">
        <v>18</v>
      </c>
      <c r="E47" s="48">
        <v>21</v>
      </c>
      <c r="F47" s="24">
        <v>3</v>
      </c>
      <c r="G47" s="19">
        <f t="shared" si="0"/>
        <v>18</v>
      </c>
    </row>
    <row r="48" spans="1:7" x14ac:dyDescent="0.3">
      <c r="A48" s="19" t="s">
        <v>25</v>
      </c>
      <c r="B48" s="26" t="s">
        <v>21</v>
      </c>
      <c r="C48" s="19">
        <v>11</v>
      </c>
      <c r="D48" s="18" t="s">
        <v>18</v>
      </c>
      <c r="E48" s="1">
        <v>38</v>
      </c>
      <c r="F48" s="21">
        <v>7</v>
      </c>
      <c r="G48" s="19">
        <f t="shared" si="0"/>
        <v>31</v>
      </c>
    </row>
    <row r="49" spans="1:7" x14ac:dyDescent="0.3">
      <c r="A49" s="22" t="s">
        <v>25</v>
      </c>
      <c r="B49" s="25" t="s">
        <v>20</v>
      </c>
      <c r="C49" s="22">
        <v>12</v>
      </c>
      <c r="D49" s="23" t="s">
        <v>18</v>
      </c>
      <c r="E49" s="48">
        <v>35</v>
      </c>
      <c r="F49" s="24">
        <v>4</v>
      </c>
      <c r="G49" s="19">
        <f t="shared" si="0"/>
        <v>31</v>
      </c>
    </row>
    <row r="50" spans="1:7" x14ac:dyDescent="0.3">
      <c r="A50" s="17" t="s">
        <v>26</v>
      </c>
      <c r="B50" s="26" t="s">
        <v>0</v>
      </c>
      <c r="C50" s="19">
        <v>1</v>
      </c>
      <c r="D50" s="18" t="s">
        <v>18</v>
      </c>
      <c r="E50" s="4">
        <v>48</v>
      </c>
      <c r="F50" s="21">
        <v>5</v>
      </c>
      <c r="G50" s="19">
        <f t="shared" si="0"/>
        <v>43</v>
      </c>
    </row>
    <row r="51" spans="1:7" x14ac:dyDescent="0.3">
      <c r="A51" s="22" t="s">
        <v>26</v>
      </c>
      <c r="B51" s="25" t="s">
        <v>1</v>
      </c>
      <c r="C51" s="22">
        <v>2</v>
      </c>
      <c r="D51" s="23" t="s">
        <v>18</v>
      </c>
      <c r="E51" s="49">
        <v>39</v>
      </c>
      <c r="F51" s="24">
        <v>3</v>
      </c>
      <c r="G51" s="19">
        <f t="shared" si="0"/>
        <v>36</v>
      </c>
    </row>
    <row r="52" spans="1:7" x14ac:dyDescent="0.3">
      <c r="A52" s="19" t="s">
        <v>26</v>
      </c>
      <c r="B52" s="26" t="s">
        <v>2</v>
      </c>
      <c r="C52" s="19">
        <v>3</v>
      </c>
      <c r="D52" s="18" t="s">
        <v>18</v>
      </c>
      <c r="E52" s="1">
        <v>39</v>
      </c>
      <c r="F52" s="21">
        <v>9</v>
      </c>
      <c r="G52" s="19">
        <f t="shared" si="0"/>
        <v>30</v>
      </c>
    </row>
    <row r="53" spans="1:7" x14ac:dyDescent="0.3">
      <c r="A53" s="22" t="s">
        <v>26</v>
      </c>
      <c r="B53" s="25" t="s">
        <v>3</v>
      </c>
      <c r="C53" s="22">
        <v>4</v>
      </c>
      <c r="D53" s="23" t="s">
        <v>18</v>
      </c>
      <c r="E53" s="49">
        <v>25</v>
      </c>
      <c r="F53" s="24">
        <v>0</v>
      </c>
      <c r="G53" s="19">
        <f t="shared" si="0"/>
        <v>25</v>
      </c>
    </row>
    <row r="54" spans="1:7" x14ac:dyDescent="0.3">
      <c r="A54" s="19" t="s">
        <v>26</v>
      </c>
      <c r="B54" s="26" t="s">
        <v>4</v>
      </c>
      <c r="C54" s="19">
        <v>5</v>
      </c>
      <c r="D54" s="18" t="s">
        <v>18</v>
      </c>
      <c r="E54" s="49">
        <v>18</v>
      </c>
      <c r="F54" s="21">
        <v>1</v>
      </c>
      <c r="G54" s="19">
        <f t="shared" si="0"/>
        <v>17</v>
      </c>
    </row>
    <row r="55" spans="1:7" x14ac:dyDescent="0.3">
      <c r="A55" s="22" t="s">
        <v>26</v>
      </c>
      <c r="B55" s="25" t="s">
        <v>5</v>
      </c>
      <c r="C55" s="22">
        <v>6</v>
      </c>
      <c r="D55" s="23" t="s">
        <v>18</v>
      </c>
      <c r="E55" s="1">
        <v>69</v>
      </c>
      <c r="F55" s="24">
        <v>2</v>
      </c>
      <c r="G55" s="19">
        <f t="shared" si="0"/>
        <v>67</v>
      </c>
    </row>
    <row r="56" spans="1:7" x14ac:dyDescent="0.3">
      <c r="A56" s="19" t="s">
        <v>26</v>
      </c>
      <c r="B56" s="26" t="s">
        <v>6</v>
      </c>
      <c r="C56" s="19">
        <v>7</v>
      </c>
      <c r="D56" s="18" t="s">
        <v>18</v>
      </c>
      <c r="E56" s="48">
        <v>19</v>
      </c>
      <c r="F56" s="21">
        <v>1</v>
      </c>
      <c r="G56" s="19">
        <f t="shared" si="0"/>
        <v>18</v>
      </c>
    </row>
    <row r="57" spans="1:7" x14ac:dyDescent="0.3">
      <c r="A57" s="22" t="s">
        <v>26</v>
      </c>
      <c r="B57" s="25" t="s">
        <v>7</v>
      </c>
      <c r="C57" s="22">
        <v>8</v>
      </c>
      <c r="D57" s="23" t="s">
        <v>18</v>
      </c>
      <c r="E57" s="1">
        <v>22</v>
      </c>
      <c r="F57" s="24">
        <v>5</v>
      </c>
      <c r="G57" s="19">
        <f t="shared" si="0"/>
        <v>17</v>
      </c>
    </row>
    <row r="58" spans="1:7" x14ac:dyDescent="0.3">
      <c r="A58" s="19" t="s">
        <v>26</v>
      </c>
      <c r="B58" s="26" t="s">
        <v>8</v>
      </c>
      <c r="C58" s="19">
        <v>9</v>
      </c>
      <c r="D58" s="18" t="s">
        <v>18</v>
      </c>
      <c r="E58" s="48">
        <v>37</v>
      </c>
      <c r="F58" s="21">
        <v>3</v>
      </c>
      <c r="G58" s="19">
        <f t="shared" si="0"/>
        <v>34</v>
      </c>
    </row>
    <row r="59" spans="1:7" x14ac:dyDescent="0.3">
      <c r="A59" s="22" t="s">
        <v>26</v>
      </c>
      <c r="B59" s="25" t="s">
        <v>19</v>
      </c>
      <c r="C59" s="22">
        <v>10</v>
      </c>
      <c r="D59" s="23" t="s">
        <v>18</v>
      </c>
      <c r="E59" s="49">
        <v>20</v>
      </c>
      <c r="F59" s="24">
        <v>1</v>
      </c>
      <c r="G59" s="19">
        <f t="shared" si="0"/>
        <v>19</v>
      </c>
    </row>
    <row r="60" spans="1:7" x14ac:dyDescent="0.3">
      <c r="A60" s="19" t="s">
        <v>26</v>
      </c>
      <c r="B60" s="26" t="s">
        <v>21</v>
      </c>
      <c r="C60" s="19">
        <v>11</v>
      </c>
      <c r="D60" s="18" t="s">
        <v>18</v>
      </c>
      <c r="E60" s="4">
        <v>27</v>
      </c>
      <c r="F60" s="21">
        <v>4</v>
      </c>
      <c r="G60" s="19">
        <f t="shared" si="0"/>
        <v>23</v>
      </c>
    </row>
    <row r="61" spans="1:7" x14ac:dyDescent="0.3">
      <c r="A61" s="22" t="s">
        <v>26</v>
      </c>
      <c r="B61" s="25" t="s">
        <v>20</v>
      </c>
      <c r="C61" s="22">
        <v>12</v>
      </c>
      <c r="D61" s="23" t="s">
        <v>18</v>
      </c>
      <c r="E61" s="48">
        <v>36</v>
      </c>
      <c r="F61" s="24">
        <v>6</v>
      </c>
      <c r="G61" s="19">
        <f t="shared" si="0"/>
        <v>30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1895B-99D0-4E23-93B0-8C570BEEC7DC}">
  <dimension ref="A1:I46"/>
  <sheetViews>
    <sheetView topLeftCell="A34" workbookViewId="0">
      <selection activeCell="B44" sqref="B44"/>
    </sheetView>
  </sheetViews>
  <sheetFormatPr defaultRowHeight="14.4" x14ac:dyDescent="0.3"/>
  <cols>
    <col min="1" max="1" width="12.5546875" bestFit="1" customWidth="1"/>
    <col min="2" max="2" width="11.33203125" bestFit="1" customWidth="1"/>
    <col min="3" max="3" width="13.33203125" bestFit="1" customWidth="1"/>
    <col min="4" max="6" width="7.6640625" bestFit="1" customWidth="1"/>
    <col min="7" max="7" width="13.77734375" bestFit="1" customWidth="1"/>
    <col min="8" max="8" width="9.44140625" bestFit="1" customWidth="1"/>
    <col min="9" max="9" width="13.33203125" bestFit="1" customWidth="1"/>
    <col min="10" max="10" width="4.77734375" bestFit="1" customWidth="1"/>
    <col min="11" max="11" width="6.6640625" bestFit="1" customWidth="1"/>
    <col min="12" max="12" width="4.88671875" bestFit="1" customWidth="1"/>
    <col min="13" max="13" width="6.6640625" bestFit="1" customWidth="1"/>
    <col min="14" max="14" width="4.21875" bestFit="1" customWidth="1"/>
    <col min="15" max="15" width="6.6640625" bestFit="1" customWidth="1"/>
    <col min="16" max="16" width="6.88671875" bestFit="1" customWidth="1"/>
    <col min="17" max="17" width="6.6640625" bestFit="1" customWidth="1"/>
    <col min="18" max="18" width="10.21875" bestFit="1" customWidth="1"/>
    <col min="19" max="19" width="6.6640625" bestFit="1" customWidth="1"/>
    <col min="20" max="20" width="7.77734375" bestFit="1" customWidth="1"/>
    <col min="21" max="21" width="6.6640625" bestFit="1" customWidth="1"/>
    <col min="22" max="22" width="9.88671875" bestFit="1" customWidth="1"/>
    <col min="23" max="23" width="6.6640625" bestFit="1" customWidth="1"/>
    <col min="24" max="24" width="9.5546875" bestFit="1" customWidth="1"/>
    <col min="25" max="25" width="6.6640625" bestFit="1" customWidth="1"/>
    <col min="26" max="26" width="7.5546875" bestFit="1" customWidth="1"/>
    <col min="27" max="27" width="7.6640625" bestFit="1" customWidth="1"/>
    <col min="28" max="28" width="8.44140625" bestFit="1" customWidth="1"/>
    <col min="29" max="29" width="7.6640625" bestFit="1" customWidth="1"/>
    <col min="30" max="30" width="6.44140625" bestFit="1" customWidth="1"/>
    <col min="31" max="31" width="7.6640625" bestFit="1" customWidth="1"/>
    <col min="32" max="32" width="10.77734375" bestFit="1" customWidth="1"/>
  </cols>
  <sheetData>
    <row r="1" spans="1:9" x14ac:dyDescent="0.3">
      <c r="A1" s="10" t="s">
        <v>28</v>
      </c>
      <c r="B1" t="s">
        <v>37</v>
      </c>
      <c r="C1" t="s">
        <v>43</v>
      </c>
      <c r="G1" s="10" t="s">
        <v>28</v>
      </c>
      <c r="H1" t="s">
        <v>37</v>
      </c>
      <c r="I1" t="s">
        <v>43</v>
      </c>
    </row>
    <row r="2" spans="1:9" x14ac:dyDescent="0.3">
      <c r="A2" s="11" t="s">
        <v>22</v>
      </c>
      <c r="B2">
        <v>0</v>
      </c>
      <c r="C2">
        <v>0</v>
      </c>
      <c r="G2" s="11">
        <v>1</v>
      </c>
      <c r="H2">
        <v>11</v>
      </c>
      <c r="I2">
        <v>91</v>
      </c>
    </row>
    <row r="3" spans="1:9" x14ac:dyDescent="0.3">
      <c r="A3" s="11" t="s">
        <v>23</v>
      </c>
      <c r="B3">
        <v>149</v>
      </c>
      <c r="C3">
        <v>138</v>
      </c>
      <c r="G3" s="12" t="s">
        <v>0</v>
      </c>
      <c r="H3">
        <v>11</v>
      </c>
      <c r="I3">
        <v>91</v>
      </c>
    </row>
    <row r="4" spans="1:9" x14ac:dyDescent="0.3">
      <c r="A4" s="11" t="s">
        <v>24</v>
      </c>
      <c r="B4">
        <v>102</v>
      </c>
      <c r="C4">
        <v>288</v>
      </c>
      <c r="G4" s="11">
        <v>2</v>
      </c>
      <c r="H4">
        <v>8</v>
      </c>
      <c r="I4">
        <v>90</v>
      </c>
    </row>
    <row r="5" spans="1:9" x14ac:dyDescent="0.3">
      <c r="A5" s="11" t="s">
        <v>25</v>
      </c>
      <c r="B5">
        <v>42</v>
      </c>
      <c r="C5">
        <v>420</v>
      </c>
      <c r="G5" s="12" t="s">
        <v>1</v>
      </c>
      <c r="H5">
        <v>8</v>
      </c>
      <c r="I5">
        <v>90</v>
      </c>
    </row>
    <row r="6" spans="1:9" x14ac:dyDescent="0.3">
      <c r="A6" s="11" t="s">
        <v>26</v>
      </c>
      <c r="B6">
        <v>40</v>
      </c>
      <c r="C6">
        <v>359</v>
      </c>
      <c r="G6" s="11">
        <v>3</v>
      </c>
      <c r="H6">
        <v>15</v>
      </c>
      <c r="I6">
        <v>91</v>
      </c>
    </row>
    <row r="7" spans="1:9" x14ac:dyDescent="0.3">
      <c r="A7" s="11" t="s">
        <v>29</v>
      </c>
      <c r="B7">
        <v>333</v>
      </c>
      <c r="C7">
        <v>1205</v>
      </c>
      <c r="G7" s="12" t="s">
        <v>2</v>
      </c>
      <c r="H7">
        <v>15</v>
      </c>
      <c r="I7">
        <v>91</v>
      </c>
    </row>
    <row r="8" spans="1:9" x14ac:dyDescent="0.3">
      <c r="G8" s="11">
        <v>4</v>
      </c>
      <c r="H8">
        <v>10</v>
      </c>
      <c r="I8">
        <v>106</v>
      </c>
    </row>
    <row r="9" spans="1:9" x14ac:dyDescent="0.3">
      <c r="G9" s="12" t="s">
        <v>3</v>
      </c>
      <c r="H9">
        <v>10</v>
      </c>
      <c r="I9">
        <v>106</v>
      </c>
    </row>
    <row r="10" spans="1:9" x14ac:dyDescent="0.3">
      <c r="G10" s="11">
        <v>5</v>
      </c>
      <c r="H10">
        <v>7</v>
      </c>
      <c r="I10">
        <v>84</v>
      </c>
    </row>
    <row r="11" spans="1:9" x14ac:dyDescent="0.3">
      <c r="G11" s="12" t="s">
        <v>4</v>
      </c>
      <c r="H11">
        <v>7</v>
      </c>
      <c r="I11">
        <v>84</v>
      </c>
    </row>
    <row r="12" spans="1:9" x14ac:dyDescent="0.3">
      <c r="G12" s="11">
        <v>6</v>
      </c>
      <c r="H12">
        <v>59</v>
      </c>
      <c r="I12">
        <v>183</v>
      </c>
    </row>
    <row r="13" spans="1:9" x14ac:dyDescent="0.3">
      <c r="G13" s="12" t="s">
        <v>5</v>
      </c>
      <c r="H13">
        <v>59</v>
      </c>
      <c r="I13">
        <v>183</v>
      </c>
    </row>
    <row r="14" spans="1:9" x14ac:dyDescent="0.3">
      <c r="G14" s="11">
        <v>7</v>
      </c>
      <c r="H14">
        <v>126</v>
      </c>
      <c r="I14">
        <v>109</v>
      </c>
    </row>
    <row r="15" spans="1:9" x14ac:dyDescent="0.3">
      <c r="G15" s="12" t="s">
        <v>6</v>
      </c>
      <c r="H15">
        <v>126</v>
      </c>
      <c r="I15">
        <v>109</v>
      </c>
    </row>
    <row r="16" spans="1:9" x14ac:dyDescent="0.3">
      <c r="G16" s="11">
        <v>8</v>
      </c>
      <c r="H16">
        <v>19</v>
      </c>
      <c r="I16">
        <v>82</v>
      </c>
    </row>
    <row r="17" spans="1:9" x14ac:dyDescent="0.3">
      <c r="G17" s="12" t="s">
        <v>7</v>
      </c>
      <c r="H17">
        <v>19</v>
      </c>
      <c r="I17">
        <v>82</v>
      </c>
    </row>
    <row r="18" spans="1:9" x14ac:dyDescent="0.3">
      <c r="G18" s="11">
        <v>9</v>
      </c>
      <c r="H18">
        <v>15</v>
      </c>
      <c r="I18">
        <v>94</v>
      </c>
    </row>
    <row r="19" spans="1:9" x14ac:dyDescent="0.3">
      <c r="G19" s="12" t="s">
        <v>8</v>
      </c>
      <c r="H19">
        <v>15</v>
      </c>
      <c r="I19">
        <v>94</v>
      </c>
    </row>
    <row r="20" spans="1:9" x14ac:dyDescent="0.3">
      <c r="G20" s="11">
        <v>10</v>
      </c>
      <c r="H20">
        <v>11</v>
      </c>
      <c r="I20">
        <v>62</v>
      </c>
    </row>
    <row r="21" spans="1:9" x14ac:dyDescent="0.3">
      <c r="G21" s="12" t="s">
        <v>19</v>
      </c>
      <c r="H21">
        <v>11</v>
      </c>
      <c r="I21">
        <v>62</v>
      </c>
    </row>
    <row r="22" spans="1:9" x14ac:dyDescent="0.3">
      <c r="G22" s="11">
        <v>11</v>
      </c>
      <c r="H22">
        <v>26</v>
      </c>
      <c r="I22">
        <v>99</v>
      </c>
    </row>
    <row r="23" spans="1:9" x14ac:dyDescent="0.3">
      <c r="G23" s="12" t="s">
        <v>21</v>
      </c>
      <c r="H23">
        <v>26</v>
      </c>
      <c r="I23">
        <v>99</v>
      </c>
    </row>
    <row r="24" spans="1:9" x14ac:dyDescent="0.3">
      <c r="G24" s="11">
        <v>12</v>
      </c>
      <c r="H24">
        <v>26</v>
      </c>
      <c r="I24">
        <v>114</v>
      </c>
    </row>
    <row r="25" spans="1:9" x14ac:dyDescent="0.3">
      <c r="A25" t="s">
        <v>40</v>
      </c>
      <c r="B25" t="s">
        <v>41</v>
      </c>
      <c r="G25" s="12" t="s">
        <v>20</v>
      </c>
      <c r="H25">
        <v>26</v>
      </c>
      <c r="I25">
        <v>114</v>
      </c>
    </row>
    <row r="26" spans="1:9" x14ac:dyDescent="0.3">
      <c r="A26" t="s">
        <v>35</v>
      </c>
      <c r="B26">
        <v>333</v>
      </c>
      <c r="G26" s="11" t="s">
        <v>29</v>
      </c>
      <c r="H26">
        <v>333</v>
      </c>
      <c r="I26">
        <v>1205</v>
      </c>
    </row>
    <row r="27" spans="1:9" x14ac:dyDescent="0.3">
      <c r="A27" t="s">
        <v>36</v>
      </c>
      <c r="B27">
        <v>1174</v>
      </c>
    </row>
    <row r="30" spans="1:9" x14ac:dyDescent="0.3">
      <c r="A30" t="s">
        <v>44</v>
      </c>
      <c r="B30" t="s">
        <v>45</v>
      </c>
      <c r="C30" t="s">
        <v>46</v>
      </c>
    </row>
    <row r="31" spans="1:9" x14ac:dyDescent="0.3">
      <c r="A31" s="11" t="s">
        <v>22</v>
      </c>
      <c r="B31" t="s">
        <v>35</v>
      </c>
      <c r="C31">
        <v>0</v>
      </c>
    </row>
    <row r="32" spans="1:9" x14ac:dyDescent="0.3">
      <c r="A32" s="11" t="s">
        <v>22</v>
      </c>
      <c r="B32" t="s">
        <v>36</v>
      </c>
      <c r="C32">
        <v>0</v>
      </c>
    </row>
    <row r="33" spans="1:3" x14ac:dyDescent="0.3">
      <c r="A33" s="11" t="s">
        <v>23</v>
      </c>
      <c r="B33" t="s">
        <v>35</v>
      </c>
      <c r="C33">
        <v>149</v>
      </c>
    </row>
    <row r="34" spans="1:3" x14ac:dyDescent="0.3">
      <c r="A34" s="11" t="s">
        <v>23</v>
      </c>
      <c r="B34" t="s">
        <v>36</v>
      </c>
      <c r="C34">
        <v>138</v>
      </c>
    </row>
    <row r="35" spans="1:3" x14ac:dyDescent="0.3">
      <c r="A35" s="11" t="s">
        <v>24</v>
      </c>
      <c r="B35" t="s">
        <v>35</v>
      </c>
      <c r="C35">
        <v>102</v>
      </c>
    </row>
    <row r="36" spans="1:3" x14ac:dyDescent="0.3">
      <c r="A36" s="11" t="s">
        <v>24</v>
      </c>
      <c r="B36" t="s">
        <v>36</v>
      </c>
      <c r="C36">
        <v>288</v>
      </c>
    </row>
    <row r="37" spans="1:3" x14ac:dyDescent="0.3">
      <c r="A37" s="11" t="s">
        <v>25</v>
      </c>
      <c r="B37" t="s">
        <v>35</v>
      </c>
      <c r="C37">
        <v>42</v>
      </c>
    </row>
    <row r="38" spans="1:3" x14ac:dyDescent="0.3">
      <c r="A38" s="11" t="s">
        <v>25</v>
      </c>
      <c r="B38" t="s">
        <v>36</v>
      </c>
      <c r="C38">
        <v>420</v>
      </c>
    </row>
    <row r="39" spans="1:3" x14ac:dyDescent="0.3">
      <c r="A39" s="11" t="s">
        <v>26</v>
      </c>
      <c r="B39" t="s">
        <v>35</v>
      </c>
      <c r="C39">
        <v>40</v>
      </c>
    </row>
    <row r="40" spans="1:3" x14ac:dyDescent="0.3">
      <c r="A40" s="11" t="s">
        <v>26</v>
      </c>
      <c r="B40" t="s">
        <v>36</v>
      </c>
      <c r="C40">
        <v>359</v>
      </c>
    </row>
    <row r="43" spans="1:3" x14ac:dyDescent="0.3">
      <c r="A43" s="10" t="s">
        <v>28</v>
      </c>
      <c r="B43" t="s">
        <v>47</v>
      </c>
    </row>
    <row r="44" spans="1:3" x14ac:dyDescent="0.3">
      <c r="A44" s="11" t="s">
        <v>35</v>
      </c>
      <c r="B44">
        <v>333</v>
      </c>
    </row>
    <row r="45" spans="1:3" x14ac:dyDescent="0.3">
      <c r="A45" s="11" t="s">
        <v>36</v>
      </c>
      <c r="B45">
        <v>1205</v>
      </c>
    </row>
    <row r="46" spans="1:3" x14ac:dyDescent="0.3">
      <c r="A46" s="11" t="s">
        <v>29</v>
      </c>
      <c r="B46">
        <v>1538</v>
      </c>
    </row>
  </sheetData>
  <pageMargins left="0.7" right="0.7" top="0.75" bottom="0.75" header="0.3" footer="0.3"/>
  <drawing r:id="rId4"/>
  <tableParts count="2">
    <tablePart r:id="rId5"/>
    <tablePart r:id="rId6"/>
  </tableParts>
  <extLst>
    <ext xmlns:x14="http://schemas.microsoft.com/office/spreadsheetml/2009/9/main" uri="{A8765BA9-456A-4dab-B4F3-ACF838C121DE}">
      <x14:slicerList>
        <x14:slicer r:id="rId7"/>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169BE-4A20-4F8F-8085-EC2549CA985C}">
  <dimension ref="A1"/>
  <sheetViews>
    <sheetView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338F6-DEC5-4B1A-8B8A-33C6FDDDF53C}">
  <dimension ref="A1:F61"/>
  <sheetViews>
    <sheetView workbookViewId="0">
      <selection activeCell="J21" sqref="J21"/>
    </sheetView>
  </sheetViews>
  <sheetFormatPr defaultRowHeight="14.4" x14ac:dyDescent="0.3"/>
  <cols>
    <col min="1" max="1" width="7.6640625" bestFit="1" customWidth="1"/>
    <col min="2" max="2" width="9.77734375" bestFit="1" customWidth="1"/>
    <col min="3" max="3" width="13.5546875" bestFit="1" customWidth="1"/>
    <col min="4" max="4" width="9.6640625" bestFit="1" customWidth="1"/>
    <col min="5" max="5" width="26.21875" bestFit="1" customWidth="1"/>
    <col min="6" max="6" width="7.44140625" bestFit="1" customWidth="1"/>
  </cols>
  <sheetData>
    <row r="1" spans="1:6" ht="15" thickBot="1" x14ac:dyDescent="0.35">
      <c r="A1" s="14" t="s">
        <v>32</v>
      </c>
      <c r="B1" s="15" t="s">
        <v>27</v>
      </c>
      <c r="C1" s="14" t="s">
        <v>30</v>
      </c>
      <c r="D1" s="14" t="s">
        <v>50</v>
      </c>
      <c r="E1" s="16" t="s">
        <v>51</v>
      </c>
      <c r="F1" s="39" t="s">
        <v>15</v>
      </c>
    </row>
    <row r="2" spans="1:6" ht="15" thickTop="1" x14ac:dyDescent="0.3">
      <c r="A2" s="13" t="s">
        <v>22</v>
      </c>
      <c r="B2" t="s">
        <v>0</v>
      </c>
      <c r="C2">
        <v>1</v>
      </c>
      <c r="D2" s="1">
        <f>814-23</f>
        <v>791</v>
      </c>
      <c r="E2">
        <v>67</v>
      </c>
      <c r="F2">
        <f>D2+E2</f>
        <v>858</v>
      </c>
    </row>
    <row r="3" spans="1:6" x14ac:dyDescent="0.3">
      <c r="A3" t="s">
        <v>22</v>
      </c>
      <c r="B3" t="s">
        <v>1</v>
      </c>
      <c r="C3">
        <v>2</v>
      </c>
      <c r="D3" s="48">
        <f>766-19</f>
        <v>747</v>
      </c>
      <c r="E3">
        <v>106</v>
      </c>
      <c r="F3">
        <f t="shared" ref="F3:F16" si="0">D3+E3</f>
        <v>853</v>
      </c>
    </row>
    <row r="4" spans="1:6" x14ac:dyDescent="0.3">
      <c r="A4" t="s">
        <v>22</v>
      </c>
      <c r="B4" t="s">
        <v>2</v>
      </c>
      <c r="C4">
        <v>3</v>
      </c>
      <c r="D4" s="1">
        <f>1070-43</f>
        <v>1027</v>
      </c>
      <c r="E4">
        <v>240</v>
      </c>
      <c r="F4">
        <f t="shared" si="0"/>
        <v>1267</v>
      </c>
    </row>
    <row r="5" spans="1:6" x14ac:dyDescent="0.3">
      <c r="A5" t="s">
        <v>22</v>
      </c>
      <c r="B5" t="s">
        <v>3</v>
      </c>
      <c r="C5">
        <v>4</v>
      </c>
      <c r="D5" s="48">
        <f>1114-37</f>
        <v>1077</v>
      </c>
      <c r="E5">
        <v>287</v>
      </c>
      <c r="F5">
        <f t="shared" si="0"/>
        <v>1364</v>
      </c>
    </row>
    <row r="6" spans="1:6" x14ac:dyDescent="0.3">
      <c r="A6" t="s">
        <v>22</v>
      </c>
      <c r="B6" t="s">
        <v>4</v>
      </c>
      <c r="C6">
        <v>5</v>
      </c>
      <c r="D6" s="7">
        <f>1016-34</f>
        <v>982</v>
      </c>
      <c r="E6">
        <v>233</v>
      </c>
      <c r="F6">
        <f t="shared" si="0"/>
        <v>1215</v>
      </c>
    </row>
    <row r="7" spans="1:6" x14ac:dyDescent="0.3">
      <c r="A7" t="s">
        <v>22</v>
      </c>
      <c r="B7" t="s">
        <v>5</v>
      </c>
      <c r="C7">
        <v>6</v>
      </c>
      <c r="D7" s="1">
        <f>1010-19</f>
        <v>991</v>
      </c>
      <c r="E7">
        <v>304</v>
      </c>
      <c r="F7">
        <f t="shared" si="0"/>
        <v>1295</v>
      </c>
    </row>
    <row r="8" spans="1:6" x14ac:dyDescent="0.3">
      <c r="A8" t="s">
        <v>22</v>
      </c>
      <c r="B8" t="s">
        <v>6</v>
      </c>
      <c r="C8">
        <v>7</v>
      </c>
      <c r="D8" s="48">
        <f>972
-26</f>
        <v>946</v>
      </c>
      <c r="E8">
        <v>291</v>
      </c>
      <c r="F8">
        <f t="shared" si="0"/>
        <v>1237</v>
      </c>
    </row>
    <row r="9" spans="1:6" x14ac:dyDescent="0.3">
      <c r="A9" t="s">
        <v>22</v>
      </c>
      <c r="B9" t="s">
        <v>7</v>
      </c>
      <c r="C9">
        <v>8</v>
      </c>
      <c r="D9" s="1">
        <f>778-22</f>
        <v>756</v>
      </c>
      <c r="E9">
        <v>181</v>
      </c>
      <c r="F9">
        <f t="shared" si="0"/>
        <v>937</v>
      </c>
    </row>
    <row r="10" spans="1:6" x14ac:dyDescent="0.3">
      <c r="A10" t="s">
        <v>22</v>
      </c>
      <c r="B10" t="s">
        <v>8</v>
      </c>
      <c r="C10">
        <v>9</v>
      </c>
      <c r="D10" s="48">
        <f>939-26</f>
        <v>913</v>
      </c>
      <c r="E10">
        <v>226</v>
      </c>
      <c r="F10">
        <f t="shared" si="0"/>
        <v>1139</v>
      </c>
    </row>
    <row r="11" spans="1:6" x14ac:dyDescent="0.3">
      <c r="A11" t="s">
        <v>22</v>
      </c>
      <c r="B11" t="s">
        <v>19</v>
      </c>
      <c r="C11">
        <v>10</v>
      </c>
      <c r="D11" s="48">
        <f>799-37</f>
        <v>762</v>
      </c>
      <c r="E11">
        <v>199</v>
      </c>
      <c r="F11">
        <f t="shared" si="0"/>
        <v>961</v>
      </c>
    </row>
    <row r="12" spans="1:6" x14ac:dyDescent="0.3">
      <c r="A12" t="s">
        <v>22</v>
      </c>
      <c r="B12" t="s">
        <v>21</v>
      </c>
      <c r="C12">
        <v>11</v>
      </c>
      <c r="D12" s="1">
        <f>831-22</f>
        <v>809</v>
      </c>
      <c r="E12">
        <v>312</v>
      </c>
      <c r="F12">
        <f t="shared" si="0"/>
        <v>1121</v>
      </c>
    </row>
    <row r="13" spans="1:6" x14ac:dyDescent="0.3">
      <c r="A13" t="s">
        <v>22</v>
      </c>
      <c r="B13" t="s">
        <v>20</v>
      </c>
      <c r="C13">
        <v>12</v>
      </c>
      <c r="D13" s="48">
        <v>1100</v>
      </c>
      <c r="E13">
        <v>450</v>
      </c>
      <c r="F13">
        <f t="shared" si="0"/>
        <v>1550</v>
      </c>
    </row>
    <row r="14" spans="1:6" x14ac:dyDescent="0.3">
      <c r="A14" s="13" t="s">
        <v>23</v>
      </c>
      <c r="B14" t="s">
        <v>0</v>
      </c>
      <c r="C14">
        <v>1</v>
      </c>
      <c r="D14" s="1">
        <f>1002-26</f>
        <v>976</v>
      </c>
      <c r="E14">
        <v>289</v>
      </c>
      <c r="F14">
        <f t="shared" si="0"/>
        <v>1265</v>
      </c>
    </row>
    <row r="15" spans="1:6" x14ac:dyDescent="0.3">
      <c r="A15" t="s">
        <v>23</v>
      </c>
      <c r="B15" t="s">
        <v>1</v>
      </c>
      <c r="C15">
        <v>2</v>
      </c>
      <c r="D15" s="48">
        <v>903</v>
      </c>
      <c r="E15">
        <v>291</v>
      </c>
      <c r="F15">
        <f t="shared" si="0"/>
        <v>1194</v>
      </c>
    </row>
    <row r="16" spans="1:6" x14ac:dyDescent="0.3">
      <c r="A16" t="s">
        <v>23</v>
      </c>
      <c r="B16" t="s">
        <v>2</v>
      </c>
      <c r="C16">
        <v>3</v>
      </c>
      <c r="D16" s="1">
        <f>1074-43</f>
        <v>1031</v>
      </c>
      <c r="E16">
        <v>304</v>
      </c>
      <c r="F16">
        <f t="shared" si="0"/>
        <v>1335</v>
      </c>
    </row>
    <row r="17" spans="1:6" x14ac:dyDescent="0.3">
      <c r="A17" t="s">
        <v>23</v>
      </c>
      <c r="B17" t="s">
        <v>3</v>
      </c>
      <c r="C17">
        <v>4</v>
      </c>
      <c r="D17" s="48">
        <f>955
-27</f>
        <v>928</v>
      </c>
      <c r="E17">
        <f>17
+133
+68
+71
+2
-1
-3</f>
        <v>287</v>
      </c>
      <c r="F17">
        <f>Table411[[#This Row],[Specific]]+Table411[[#This Row],[Bodycheckup_Sonography]]</f>
        <v>1215</v>
      </c>
    </row>
    <row r="18" spans="1:6" x14ac:dyDescent="0.3">
      <c r="A18" t="s">
        <v>23</v>
      </c>
      <c r="B18" t="s">
        <v>4</v>
      </c>
      <c r="C18">
        <v>5</v>
      </c>
      <c r="D18" s="48">
        <f>1009-25</f>
        <v>984</v>
      </c>
      <c r="E18">
        <v>259</v>
      </c>
      <c r="F18">
        <f>D18+E18</f>
        <v>1243</v>
      </c>
    </row>
    <row r="19" spans="1:6" x14ac:dyDescent="0.3">
      <c r="A19" t="s">
        <v>23</v>
      </c>
      <c r="B19" t="s">
        <v>5</v>
      </c>
      <c r="C19">
        <v>6</v>
      </c>
      <c r="D19" s="1">
        <f>1032-34</f>
        <v>998</v>
      </c>
      <c r="E19">
        <v>296</v>
      </c>
      <c r="F19">
        <f t="shared" ref="F19:F28" si="1">D19+E19</f>
        <v>1294</v>
      </c>
    </row>
    <row r="20" spans="1:6" x14ac:dyDescent="0.3">
      <c r="A20" t="s">
        <v>23</v>
      </c>
      <c r="B20" t="s">
        <v>6</v>
      </c>
      <c r="C20">
        <v>7</v>
      </c>
      <c r="D20" s="48">
        <f>602
-15</f>
        <v>587</v>
      </c>
      <c r="E20">
        <v>182</v>
      </c>
      <c r="F20">
        <f t="shared" si="1"/>
        <v>769</v>
      </c>
    </row>
    <row r="21" spans="1:6" x14ac:dyDescent="0.3">
      <c r="A21" t="s">
        <v>23</v>
      </c>
      <c r="B21" t="s">
        <v>7</v>
      </c>
      <c r="C21">
        <v>8</v>
      </c>
      <c r="D21" s="1">
        <f>972-32</f>
        <v>940</v>
      </c>
      <c r="E21">
        <v>277</v>
      </c>
      <c r="F21">
        <f t="shared" si="1"/>
        <v>1217</v>
      </c>
    </row>
    <row r="22" spans="1:6" x14ac:dyDescent="0.3">
      <c r="A22" t="s">
        <v>23</v>
      </c>
      <c r="B22" t="s">
        <v>8</v>
      </c>
      <c r="C22">
        <v>9</v>
      </c>
      <c r="D22" s="48">
        <v>904</v>
      </c>
      <c r="E22">
        <v>285</v>
      </c>
      <c r="F22">
        <f t="shared" si="1"/>
        <v>1189</v>
      </c>
    </row>
    <row r="23" spans="1:6" x14ac:dyDescent="0.3">
      <c r="A23" t="s">
        <v>23</v>
      </c>
      <c r="B23" t="s">
        <v>19</v>
      </c>
      <c r="C23">
        <v>10</v>
      </c>
      <c r="D23" s="48">
        <f>804
-12</f>
        <v>792</v>
      </c>
      <c r="E23">
        <v>193</v>
      </c>
      <c r="F23">
        <f>Table411[[#This Row],[Specific]]+Table411[[#This Row],[Bodycheckup_Sonography]]</f>
        <v>985</v>
      </c>
    </row>
    <row r="24" spans="1:6" x14ac:dyDescent="0.3">
      <c r="A24" t="s">
        <v>23</v>
      </c>
      <c r="B24" t="s">
        <v>21</v>
      </c>
      <c r="C24">
        <v>11</v>
      </c>
      <c r="D24" s="1">
        <f>864-18</f>
        <v>846</v>
      </c>
      <c r="E24">
        <v>329</v>
      </c>
      <c r="F24">
        <f t="shared" si="1"/>
        <v>1175</v>
      </c>
    </row>
    <row r="25" spans="1:6" x14ac:dyDescent="0.3">
      <c r="A25" t="s">
        <v>23</v>
      </c>
      <c r="B25" t="s">
        <v>20</v>
      </c>
      <c r="C25">
        <v>12</v>
      </c>
      <c r="D25" s="48">
        <f>939
-27</f>
        <v>912</v>
      </c>
      <c r="E25">
        <v>447</v>
      </c>
      <c r="F25">
        <f t="shared" si="1"/>
        <v>1359</v>
      </c>
    </row>
    <row r="26" spans="1:6" x14ac:dyDescent="0.3">
      <c r="A26" s="13" t="s">
        <v>24</v>
      </c>
      <c r="B26" t="s">
        <v>0</v>
      </c>
      <c r="C26">
        <v>1</v>
      </c>
      <c r="D26" s="1">
        <f>941-24</f>
        <v>917</v>
      </c>
      <c r="E26">
        <v>308</v>
      </c>
      <c r="F26">
        <f t="shared" si="1"/>
        <v>1225</v>
      </c>
    </row>
    <row r="27" spans="1:6" x14ac:dyDescent="0.3">
      <c r="A27" t="s">
        <v>24</v>
      </c>
      <c r="B27" t="s">
        <v>1</v>
      </c>
      <c r="C27">
        <v>2</v>
      </c>
      <c r="D27" s="48">
        <f>979
-25</f>
        <v>954</v>
      </c>
      <c r="E27">
        <v>296</v>
      </c>
      <c r="F27">
        <f t="shared" si="1"/>
        <v>1250</v>
      </c>
    </row>
    <row r="28" spans="1:6" x14ac:dyDescent="0.3">
      <c r="A28" t="s">
        <v>24</v>
      </c>
      <c r="B28" t="s">
        <v>2</v>
      </c>
      <c r="C28">
        <v>3</v>
      </c>
      <c r="D28" s="1">
        <f>997-26</f>
        <v>971</v>
      </c>
      <c r="E28">
        <v>280</v>
      </c>
      <c r="F28">
        <f t="shared" si="1"/>
        <v>1251</v>
      </c>
    </row>
    <row r="29" spans="1:6" x14ac:dyDescent="0.3">
      <c r="A29" t="s">
        <v>24</v>
      </c>
      <c r="B29" t="s">
        <v>3</v>
      </c>
      <c r="C29">
        <v>4</v>
      </c>
      <c r="D29" s="48">
        <f>1066
-22</f>
        <v>1044</v>
      </c>
      <c r="E29">
        <v>271</v>
      </c>
      <c r="F29">
        <f>Table411[[#This Row],[Specific]]+Table411[[#This Row],[Bodycheckup_Sonography]]</f>
        <v>1315</v>
      </c>
    </row>
    <row r="30" spans="1:6" x14ac:dyDescent="0.3">
      <c r="A30" t="s">
        <v>24</v>
      </c>
      <c r="B30" t="s">
        <v>4</v>
      </c>
      <c r="C30">
        <v>5</v>
      </c>
      <c r="D30" s="48">
        <f>1081
-22</f>
        <v>1059</v>
      </c>
      <c r="E30">
        <v>248</v>
      </c>
      <c r="F30">
        <f>D30+E30</f>
        <v>1307</v>
      </c>
    </row>
    <row r="31" spans="1:6" x14ac:dyDescent="0.3">
      <c r="A31" t="s">
        <v>24</v>
      </c>
      <c r="B31" t="s">
        <v>5</v>
      </c>
      <c r="C31">
        <v>6</v>
      </c>
      <c r="D31" s="1">
        <f>1016-35</f>
        <v>981</v>
      </c>
      <c r="E31">
        <v>274</v>
      </c>
      <c r="F31">
        <f t="shared" ref="F31:F44" si="2">D31+E31</f>
        <v>1255</v>
      </c>
    </row>
    <row r="32" spans="1:6" x14ac:dyDescent="0.3">
      <c r="A32" t="s">
        <v>24</v>
      </c>
      <c r="B32" t="s">
        <v>6</v>
      </c>
      <c r="C32">
        <v>7</v>
      </c>
      <c r="D32" s="48">
        <f>929
-32</f>
        <v>897</v>
      </c>
      <c r="E32">
        <v>258</v>
      </c>
      <c r="F32">
        <f t="shared" si="2"/>
        <v>1155</v>
      </c>
    </row>
    <row r="33" spans="1:6" x14ac:dyDescent="0.3">
      <c r="A33" t="s">
        <v>24</v>
      </c>
      <c r="B33" t="s">
        <v>7</v>
      </c>
      <c r="C33">
        <v>8</v>
      </c>
      <c r="D33" s="1">
        <f>644-25</f>
        <v>619</v>
      </c>
      <c r="E33">
        <v>180</v>
      </c>
      <c r="F33">
        <f t="shared" si="2"/>
        <v>799</v>
      </c>
    </row>
    <row r="34" spans="1:6" x14ac:dyDescent="0.3">
      <c r="A34" t="s">
        <v>24</v>
      </c>
      <c r="B34" t="s">
        <v>8</v>
      </c>
      <c r="C34">
        <v>9</v>
      </c>
      <c r="D34" s="48">
        <f>946-31</f>
        <v>915</v>
      </c>
      <c r="E34">
        <v>296</v>
      </c>
      <c r="F34">
        <f t="shared" si="2"/>
        <v>1211</v>
      </c>
    </row>
    <row r="35" spans="1:6" x14ac:dyDescent="0.3">
      <c r="A35" t="s">
        <v>24</v>
      </c>
      <c r="B35" t="s">
        <v>19</v>
      </c>
      <c r="C35">
        <v>10</v>
      </c>
      <c r="D35" s="48">
        <v>802</v>
      </c>
      <c r="E35">
        <v>288</v>
      </c>
      <c r="F35">
        <f t="shared" si="2"/>
        <v>1090</v>
      </c>
    </row>
    <row r="36" spans="1:6" x14ac:dyDescent="0.3">
      <c r="A36" t="s">
        <v>24</v>
      </c>
      <c r="B36" t="s">
        <v>21</v>
      </c>
      <c r="C36">
        <v>11</v>
      </c>
      <c r="D36" s="1">
        <f>960-38</f>
        <v>922</v>
      </c>
      <c r="E36">
        <v>362</v>
      </c>
      <c r="F36">
        <f t="shared" si="2"/>
        <v>1284</v>
      </c>
    </row>
    <row r="37" spans="1:6" x14ac:dyDescent="0.3">
      <c r="A37" t="s">
        <v>24</v>
      </c>
      <c r="B37" t="s">
        <v>20</v>
      </c>
      <c r="C37">
        <v>12</v>
      </c>
      <c r="D37" s="48">
        <f>897
-32</f>
        <v>865</v>
      </c>
      <c r="E37">
        <v>456</v>
      </c>
      <c r="F37">
        <f t="shared" si="2"/>
        <v>1321</v>
      </c>
    </row>
    <row r="38" spans="1:6" x14ac:dyDescent="0.3">
      <c r="A38" s="13" t="s">
        <v>25</v>
      </c>
      <c r="B38" t="s">
        <v>0</v>
      </c>
      <c r="C38">
        <v>1</v>
      </c>
      <c r="D38" s="1">
        <f>961-35</f>
        <v>926</v>
      </c>
      <c r="E38">
        <v>336</v>
      </c>
      <c r="F38">
        <f t="shared" si="2"/>
        <v>1262</v>
      </c>
    </row>
    <row r="39" spans="1:6" x14ac:dyDescent="0.3">
      <c r="A39" t="s">
        <v>25</v>
      </c>
      <c r="B39" t="s">
        <v>1</v>
      </c>
      <c r="C39">
        <v>2</v>
      </c>
      <c r="D39" s="48">
        <v>938</v>
      </c>
      <c r="E39">
        <v>340</v>
      </c>
      <c r="F39">
        <f t="shared" si="2"/>
        <v>1278</v>
      </c>
    </row>
    <row r="40" spans="1:6" x14ac:dyDescent="0.3">
      <c r="A40" t="s">
        <v>25</v>
      </c>
      <c r="B40" t="s">
        <v>2</v>
      </c>
      <c r="C40">
        <v>3</v>
      </c>
      <c r="D40" s="1">
        <f>1021-34</f>
        <v>987</v>
      </c>
      <c r="E40">
        <v>343</v>
      </c>
      <c r="F40">
        <f t="shared" si="2"/>
        <v>1330</v>
      </c>
    </row>
    <row r="41" spans="1:6" x14ac:dyDescent="0.3">
      <c r="A41" t="s">
        <v>25</v>
      </c>
      <c r="B41" t="s">
        <v>3</v>
      </c>
      <c r="C41">
        <v>4</v>
      </c>
      <c r="D41" s="48">
        <f>1144
-37</f>
        <v>1107</v>
      </c>
      <c r="E41">
        <v>428</v>
      </c>
      <c r="F41">
        <f t="shared" si="2"/>
        <v>1535</v>
      </c>
    </row>
    <row r="42" spans="1:6" x14ac:dyDescent="0.3">
      <c r="A42" t="s">
        <v>25</v>
      </c>
      <c r="B42" t="s">
        <v>4</v>
      </c>
      <c r="C42">
        <v>5</v>
      </c>
      <c r="D42" s="48">
        <f>863
-17</f>
        <v>846</v>
      </c>
      <c r="E42">
        <v>216</v>
      </c>
      <c r="F42">
        <f t="shared" si="2"/>
        <v>1062</v>
      </c>
    </row>
    <row r="43" spans="1:6" x14ac:dyDescent="0.3">
      <c r="A43" t="s">
        <v>25</v>
      </c>
      <c r="B43" t="s">
        <v>5</v>
      </c>
      <c r="C43">
        <v>6</v>
      </c>
      <c r="D43" s="1">
        <f>1019-25</f>
        <v>994</v>
      </c>
      <c r="E43">
        <v>300</v>
      </c>
      <c r="F43">
        <f t="shared" si="2"/>
        <v>1294</v>
      </c>
    </row>
    <row r="44" spans="1:6" x14ac:dyDescent="0.3">
      <c r="A44" t="s">
        <v>25</v>
      </c>
      <c r="B44" t="s">
        <v>6</v>
      </c>
      <c r="C44">
        <v>7</v>
      </c>
      <c r="D44" s="48">
        <f>791-29</f>
        <v>762</v>
      </c>
      <c r="E44">
        <v>231</v>
      </c>
      <c r="F44">
        <f t="shared" si="2"/>
        <v>993</v>
      </c>
    </row>
    <row r="45" spans="1:6" x14ac:dyDescent="0.3">
      <c r="A45" t="s">
        <v>25</v>
      </c>
      <c r="B45" t="s">
        <v>7</v>
      </c>
      <c r="C45">
        <v>8</v>
      </c>
      <c r="D45" s="1">
        <f>783-33</f>
        <v>750</v>
      </c>
      <c r="E45">
        <v>254</v>
      </c>
      <c r="F45">
        <f>Table411[[#This Row],[Specific]]+Table411[[#This Row],[Bodycheckup_Sonography]]</f>
        <v>1004</v>
      </c>
    </row>
    <row r="46" spans="1:6" x14ac:dyDescent="0.3">
      <c r="A46" t="s">
        <v>25</v>
      </c>
      <c r="B46" t="s">
        <v>8</v>
      </c>
      <c r="C46">
        <v>9</v>
      </c>
      <c r="D46" s="48">
        <v>803</v>
      </c>
      <c r="E46">
        <v>264</v>
      </c>
      <c r="F46">
        <f>D46+E46</f>
        <v>1067</v>
      </c>
    </row>
    <row r="47" spans="1:6" x14ac:dyDescent="0.3">
      <c r="A47" t="s">
        <v>25</v>
      </c>
      <c r="B47" t="s">
        <v>19</v>
      </c>
      <c r="C47">
        <v>10</v>
      </c>
      <c r="D47" s="48">
        <f>879
-28</f>
        <v>851</v>
      </c>
      <c r="E47">
        <v>267</v>
      </c>
      <c r="F47">
        <f t="shared" ref="F47:F51" si="3">D47+E47</f>
        <v>1118</v>
      </c>
    </row>
    <row r="48" spans="1:6" x14ac:dyDescent="0.3">
      <c r="A48" t="s">
        <v>25</v>
      </c>
      <c r="B48" t="s">
        <v>21</v>
      </c>
      <c r="C48">
        <v>11</v>
      </c>
      <c r="D48" s="1">
        <f>776-29</f>
        <v>747</v>
      </c>
      <c r="E48">
        <v>358</v>
      </c>
      <c r="F48">
        <f t="shared" si="3"/>
        <v>1105</v>
      </c>
    </row>
    <row r="49" spans="1:6" x14ac:dyDescent="0.3">
      <c r="A49" t="s">
        <v>25</v>
      </c>
      <c r="B49" t="s">
        <v>20</v>
      </c>
      <c r="C49">
        <v>12</v>
      </c>
      <c r="D49" s="48">
        <v>811</v>
      </c>
      <c r="E49">
        <v>439</v>
      </c>
      <c r="F49">
        <f t="shared" si="3"/>
        <v>1250</v>
      </c>
    </row>
    <row r="50" spans="1:6" x14ac:dyDescent="0.3">
      <c r="A50" s="13" t="s">
        <v>26</v>
      </c>
      <c r="B50" t="s">
        <v>0</v>
      </c>
      <c r="C50">
        <v>1</v>
      </c>
      <c r="D50" s="1">
        <f>968-34</f>
        <v>934</v>
      </c>
      <c r="E50">
        <v>347</v>
      </c>
      <c r="F50">
        <f t="shared" si="3"/>
        <v>1281</v>
      </c>
    </row>
    <row r="51" spans="1:6" x14ac:dyDescent="0.3">
      <c r="A51" t="s">
        <v>26</v>
      </c>
      <c r="B51" t="s">
        <v>1</v>
      </c>
      <c r="C51">
        <v>2</v>
      </c>
      <c r="D51" s="48">
        <v>899</v>
      </c>
      <c r="E51">
        <v>301</v>
      </c>
      <c r="F51">
        <f t="shared" si="3"/>
        <v>1200</v>
      </c>
    </row>
    <row r="52" spans="1:6" x14ac:dyDescent="0.3">
      <c r="A52" t="s">
        <v>26</v>
      </c>
      <c r="B52" t="s">
        <v>2</v>
      </c>
      <c r="C52">
        <v>3</v>
      </c>
      <c r="D52" s="1">
        <f>1000-33</f>
        <v>967</v>
      </c>
      <c r="E52">
        <v>231</v>
      </c>
      <c r="F52">
        <f>Table411[[#This Row],[Specific]]+Table411[[#This Row],[Bodycheckup_Sonography]]</f>
        <v>1198</v>
      </c>
    </row>
    <row r="53" spans="1:6" x14ac:dyDescent="0.3">
      <c r="A53" t="s">
        <v>26</v>
      </c>
      <c r="B53" t="s">
        <v>3</v>
      </c>
      <c r="C53">
        <v>4</v>
      </c>
      <c r="D53" s="48">
        <f>1083
-31</f>
        <v>1052</v>
      </c>
      <c r="E53">
        <v>265</v>
      </c>
      <c r="F53">
        <f>D53+E53</f>
        <v>1317</v>
      </c>
    </row>
    <row r="54" spans="1:6" x14ac:dyDescent="0.3">
      <c r="A54" t="s">
        <v>26</v>
      </c>
      <c r="B54" t="s">
        <v>4</v>
      </c>
      <c r="C54">
        <v>5</v>
      </c>
      <c r="D54" s="48">
        <f>884-22</f>
        <v>862</v>
      </c>
      <c r="E54">
        <v>177</v>
      </c>
      <c r="F54">
        <f t="shared" ref="F54:F59" si="4">D54+E54</f>
        <v>1039</v>
      </c>
    </row>
    <row r="55" spans="1:6" x14ac:dyDescent="0.3">
      <c r="A55" t="s">
        <v>26</v>
      </c>
      <c r="B55" t="s">
        <v>5</v>
      </c>
      <c r="C55">
        <v>6</v>
      </c>
      <c r="D55" s="1">
        <f>927-34</f>
        <v>893</v>
      </c>
      <c r="E55">
        <v>227</v>
      </c>
      <c r="F55">
        <f t="shared" si="4"/>
        <v>1120</v>
      </c>
    </row>
    <row r="56" spans="1:6" x14ac:dyDescent="0.3">
      <c r="A56" t="s">
        <v>26</v>
      </c>
      <c r="B56" t="s">
        <v>6</v>
      </c>
      <c r="C56">
        <v>7</v>
      </c>
      <c r="D56" s="48">
        <f>614
-23</f>
        <v>591</v>
      </c>
      <c r="E56">
        <v>182</v>
      </c>
      <c r="F56">
        <f t="shared" si="4"/>
        <v>773</v>
      </c>
    </row>
    <row r="57" spans="1:6" x14ac:dyDescent="0.3">
      <c r="A57" t="s">
        <v>26</v>
      </c>
      <c r="B57" t="s">
        <v>7</v>
      </c>
      <c r="C57">
        <v>8</v>
      </c>
      <c r="D57" s="1">
        <f>869-34</f>
        <v>835</v>
      </c>
      <c r="E57">
        <v>232</v>
      </c>
      <c r="F57">
        <f t="shared" si="4"/>
        <v>1067</v>
      </c>
    </row>
    <row r="58" spans="1:6" x14ac:dyDescent="0.3">
      <c r="A58" t="s">
        <v>26</v>
      </c>
      <c r="B58" t="s">
        <v>8</v>
      </c>
      <c r="C58">
        <v>9</v>
      </c>
      <c r="D58" s="48">
        <f>917
-26</f>
        <v>891</v>
      </c>
      <c r="E58">
        <v>266</v>
      </c>
      <c r="F58">
        <f t="shared" si="4"/>
        <v>1157</v>
      </c>
    </row>
    <row r="59" spans="1:6" x14ac:dyDescent="0.3">
      <c r="A59" t="s">
        <v>26</v>
      </c>
      <c r="B59" t="s">
        <v>19</v>
      </c>
      <c r="C59">
        <v>10</v>
      </c>
      <c r="D59" s="48">
        <f>763
-27</f>
        <v>736</v>
      </c>
      <c r="E59">
        <v>214</v>
      </c>
      <c r="F59">
        <f t="shared" si="4"/>
        <v>950</v>
      </c>
    </row>
    <row r="60" spans="1:6" x14ac:dyDescent="0.3">
      <c r="A60" t="s">
        <v>26</v>
      </c>
      <c r="B60" t="s">
        <v>21</v>
      </c>
      <c r="C60">
        <v>11</v>
      </c>
      <c r="D60" s="1">
        <f>821-28</f>
        <v>793</v>
      </c>
      <c r="E60">
        <v>319</v>
      </c>
      <c r="F60">
        <f>Table411[[#This Row],[Specific]]+Table411[[#This Row],[Bodycheckup_Sonography]]</f>
        <v>1112</v>
      </c>
    </row>
    <row r="61" spans="1:6" x14ac:dyDescent="0.3">
      <c r="A61" t="s">
        <v>26</v>
      </c>
      <c r="B61" t="s">
        <v>20</v>
      </c>
      <c r="C61">
        <v>12</v>
      </c>
      <c r="D61" s="48">
        <f>803
-36</f>
        <v>767</v>
      </c>
      <c r="E61">
        <v>338</v>
      </c>
      <c r="F61">
        <f>D61+E61</f>
        <v>1105</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B6239-3CD8-4110-926F-66E837349FAC}">
  <dimension ref="A3:I65"/>
  <sheetViews>
    <sheetView topLeftCell="A40" workbookViewId="0">
      <selection activeCell="B63" sqref="B63"/>
    </sheetView>
  </sheetViews>
  <sheetFormatPr defaultRowHeight="14.4" x14ac:dyDescent="0.3"/>
  <cols>
    <col min="1" max="1" width="12.5546875" bestFit="1" customWidth="1"/>
    <col min="2" max="2" width="11.6640625" bestFit="1" customWidth="1"/>
    <col min="3" max="3" width="25.5546875" bestFit="1" customWidth="1"/>
    <col min="7" max="7" width="13.77734375" bestFit="1" customWidth="1"/>
    <col min="8" max="8" width="11.21875" bestFit="1" customWidth="1"/>
    <col min="9" max="9" width="25.5546875" bestFit="1" customWidth="1"/>
  </cols>
  <sheetData>
    <row r="3" spans="1:9" x14ac:dyDescent="0.3">
      <c r="A3" s="10" t="s">
        <v>28</v>
      </c>
      <c r="B3" t="s">
        <v>54</v>
      </c>
      <c r="C3" t="s">
        <v>53</v>
      </c>
      <c r="G3" s="10" t="s">
        <v>28</v>
      </c>
      <c r="H3" t="s">
        <v>10</v>
      </c>
      <c r="I3" t="s">
        <v>53</v>
      </c>
    </row>
    <row r="4" spans="1:9" x14ac:dyDescent="0.3">
      <c r="A4" s="11" t="s">
        <v>22</v>
      </c>
      <c r="B4">
        <v>10901</v>
      </c>
      <c r="C4">
        <v>2896</v>
      </c>
      <c r="G4" s="11">
        <v>1</v>
      </c>
      <c r="H4">
        <v>4544</v>
      </c>
      <c r="I4">
        <v>1347</v>
      </c>
    </row>
    <row r="5" spans="1:9" x14ac:dyDescent="0.3">
      <c r="A5" s="11" t="s">
        <v>23</v>
      </c>
      <c r="B5">
        <v>10801</v>
      </c>
      <c r="C5">
        <v>3439</v>
      </c>
      <c r="G5" s="12" t="s">
        <v>0</v>
      </c>
      <c r="H5">
        <v>4544</v>
      </c>
      <c r="I5">
        <v>1347</v>
      </c>
    </row>
    <row r="6" spans="1:9" x14ac:dyDescent="0.3">
      <c r="A6" s="11" t="s">
        <v>24</v>
      </c>
      <c r="B6">
        <v>10946</v>
      </c>
      <c r="C6">
        <v>3517</v>
      </c>
      <c r="G6" s="11">
        <v>2</v>
      </c>
      <c r="H6">
        <v>4441</v>
      </c>
      <c r="I6">
        <v>1334</v>
      </c>
    </row>
    <row r="7" spans="1:9" x14ac:dyDescent="0.3">
      <c r="A7" s="11" t="s">
        <v>25</v>
      </c>
      <c r="B7">
        <v>10522</v>
      </c>
      <c r="C7">
        <v>3776</v>
      </c>
      <c r="G7" s="12" t="s">
        <v>1</v>
      </c>
      <c r="H7">
        <v>4441</v>
      </c>
      <c r="I7">
        <v>1334</v>
      </c>
    </row>
    <row r="8" spans="1:9" x14ac:dyDescent="0.3">
      <c r="A8" s="11" t="s">
        <v>26</v>
      </c>
      <c r="B8">
        <v>10220</v>
      </c>
      <c r="C8">
        <v>3099</v>
      </c>
      <c r="G8" s="11">
        <v>3</v>
      </c>
      <c r="H8">
        <v>4983</v>
      </c>
      <c r="I8">
        <v>1398</v>
      </c>
    </row>
    <row r="9" spans="1:9" x14ac:dyDescent="0.3">
      <c r="A9" s="11" t="s">
        <v>29</v>
      </c>
      <c r="B9">
        <v>53390</v>
      </c>
      <c r="C9">
        <v>16727</v>
      </c>
      <c r="G9" s="12" t="s">
        <v>2</v>
      </c>
      <c r="H9">
        <v>4983</v>
      </c>
      <c r="I9">
        <v>1398</v>
      </c>
    </row>
    <row r="10" spans="1:9" x14ac:dyDescent="0.3">
      <c r="G10" s="11">
        <v>4</v>
      </c>
      <c r="H10">
        <v>5208</v>
      </c>
      <c r="I10">
        <v>1538</v>
      </c>
    </row>
    <row r="11" spans="1:9" x14ac:dyDescent="0.3">
      <c r="G11" s="12" t="s">
        <v>3</v>
      </c>
      <c r="H11">
        <v>5208</v>
      </c>
      <c r="I11">
        <v>1538</v>
      </c>
    </row>
    <row r="12" spans="1:9" x14ac:dyDescent="0.3">
      <c r="G12" s="11">
        <v>5</v>
      </c>
      <c r="H12">
        <v>4733</v>
      </c>
      <c r="I12">
        <v>1133</v>
      </c>
    </row>
    <row r="13" spans="1:9" x14ac:dyDescent="0.3">
      <c r="G13" s="12" t="s">
        <v>4</v>
      </c>
      <c r="H13">
        <v>4733</v>
      </c>
      <c r="I13">
        <v>1133</v>
      </c>
    </row>
    <row r="14" spans="1:9" x14ac:dyDescent="0.3">
      <c r="G14" s="11">
        <v>6</v>
      </c>
      <c r="H14">
        <v>4857</v>
      </c>
      <c r="I14">
        <v>1401</v>
      </c>
    </row>
    <row r="15" spans="1:9" x14ac:dyDescent="0.3">
      <c r="G15" s="12" t="s">
        <v>5</v>
      </c>
      <c r="H15">
        <v>4857</v>
      </c>
      <c r="I15">
        <v>1401</v>
      </c>
    </row>
    <row r="16" spans="1:9" x14ac:dyDescent="0.3">
      <c r="G16" s="11">
        <v>7</v>
      </c>
      <c r="H16">
        <v>3783</v>
      </c>
      <c r="I16">
        <v>1144</v>
      </c>
    </row>
    <row r="17" spans="7:9" x14ac:dyDescent="0.3">
      <c r="G17" s="12" t="s">
        <v>6</v>
      </c>
      <c r="H17">
        <v>3783</v>
      </c>
      <c r="I17">
        <v>1144</v>
      </c>
    </row>
    <row r="18" spans="7:9" x14ac:dyDescent="0.3">
      <c r="G18" s="11">
        <v>8</v>
      </c>
      <c r="H18">
        <v>3900</v>
      </c>
      <c r="I18">
        <v>1124</v>
      </c>
    </row>
    <row r="19" spans="7:9" x14ac:dyDescent="0.3">
      <c r="G19" s="12" t="s">
        <v>7</v>
      </c>
      <c r="H19">
        <v>3900</v>
      </c>
      <c r="I19">
        <v>1124</v>
      </c>
    </row>
    <row r="20" spans="7:9" x14ac:dyDescent="0.3">
      <c r="G20" s="11">
        <v>9</v>
      </c>
      <c r="H20">
        <v>4426</v>
      </c>
      <c r="I20">
        <v>1337</v>
      </c>
    </row>
    <row r="21" spans="7:9" x14ac:dyDescent="0.3">
      <c r="G21" s="12" t="s">
        <v>8</v>
      </c>
      <c r="H21">
        <v>4426</v>
      </c>
      <c r="I21">
        <v>1337</v>
      </c>
    </row>
    <row r="22" spans="7:9" x14ac:dyDescent="0.3">
      <c r="G22" s="11">
        <v>10</v>
      </c>
      <c r="H22">
        <v>3943</v>
      </c>
      <c r="I22">
        <v>1161</v>
      </c>
    </row>
    <row r="23" spans="7:9" x14ac:dyDescent="0.3">
      <c r="G23" s="12" t="s">
        <v>19</v>
      </c>
      <c r="H23">
        <v>3943</v>
      </c>
      <c r="I23">
        <v>1161</v>
      </c>
    </row>
    <row r="24" spans="7:9" x14ac:dyDescent="0.3">
      <c r="G24" s="11">
        <v>11</v>
      </c>
      <c r="H24">
        <v>4117</v>
      </c>
      <c r="I24">
        <v>1680</v>
      </c>
    </row>
    <row r="25" spans="7:9" x14ac:dyDescent="0.3">
      <c r="G25" s="12" t="s">
        <v>21</v>
      </c>
      <c r="H25">
        <v>4117</v>
      </c>
      <c r="I25">
        <v>1680</v>
      </c>
    </row>
    <row r="26" spans="7:9" x14ac:dyDescent="0.3">
      <c r="G26" s="11">
        <v>12</v>
      </c>
      <c r="H26">
        <v>4455</v>
      </c>
      <c r="I26">
        <v>2130</v>
      </c>
    </row>
    <row r="27" spans="7:9" x14ac:dyDescent="0.3">
      <c r="G27" s="12" t="s">
        <v>20</v>
      </c>
      <c r="H27">
        <v>4455</v>
      </c>
      <c r="I27">
        <v>2130</v>
      </c>
    </row>
    <row r="28" spans="7:9" x14ac:dyDescent="0.3">
      <c r="G28" s="11" t="s">
        <v>29</v>
      </c>
      <c r="H28">
        <v>53390</v>
      </c>
      <c r="I28">
        <v>16727</v>
      </c>
    </row>
    <row r="48" spans="1:3" x14ac:dyDescent="0.3">
      <c r="A48" t="s">
        <v>44</v>
      </c>
      <c r="B48" t="s">
        <v>45</v>
      </c>
      <c r="C48" t="s">
        <v>46</v>
      </c>
    </row>
    <row r="49" spans="1:3" x14ac:dyDescent="0.3">
      <c r="A49" s="11" t="s">
        <v>22</v>
      </c>
      <c r="B49" t="s">
        <v>10</v>
      </c>
      <c r="C49">
        <v>10738</v>
      </c>
    </row>
    <row r="50" spans="1:3" x14ac:dyDescent="0.3">
      <c r="A50" s="11" t="s">
        <v>22</v>
      </c>
      <c r="B50" t="s">
        <v>53</v>
      </c>
      <c r="C50">
        <v>2896</v>
      </c>
    </row>
    <row r="51" spans="1:3" x14ac:dyDescent="0.3">
      <c r="A51" s="11" t="s">
        <v>23</v>
      </c>
      <c r="B51" t="s">
        <v>10</v>
      </c>
      <c r="C51">
        <v>10580</v>
      </c>
    </row>
    <row r="52" spans="1:3" x14ac:dyDescent="0.3">
      <c r="A52" s="11" t="s">
        <v>23</v>
      </c>
      <c r="B52" t="s">
        <v>53</v>
      </c>
      <c r="C52">
        <v>3439</v>
      </c>
    </row>
    <row r="53" spans="1:3" x14ac:dyDescent="0.3">
      <c r="A53" s="11" t="s">
        <v>24</v>
      </c>
      <c r="B53" t="s">
        <v>10</v>
      </c>
      <c r="C53">
        <v>10698</v>
      </c>
    </row>
    <row r="54" spans="1:3" x14ac:dyDescent="0.3">
      <c r="A54" s="11" t="s">
        <v>24</v>
      </c>
      <c r="B54" t="s">
        <v>53</v>
      </c>
      <c r="C54">
        <v>3517</v>
      </c>
    </row>
    <row r="55" spans="1:3" x14ac:dyDescent="0.3">
      <c r="A55" s="11" t="s">
        <v>25</v>
      </c>
      <c r="B55" t="s">
        <v>10</v>
      </c>
      <c r="C55">
        <v>10313</v>
      </c>
    </row>
    <row r="56" spans="1:3" x14ac:dyDescent="0.3">
      <c r="A56" s="11" t="s">
        <v>25</v>
      </c>
      <c r="B56" t="s">
        <v>53</v>
      </c>
      <c r="C56">
        <v>3776</v>
      </c>
    </row>
    <row r="57" spans="1:3" x14ac:dyDescent="0.3">
      <c r="A57" s="11" t="s">
        <v>26</v>
      </c>
      <c r="B57" t="s">
        <v>10</v>
      </c>
      <c r="C57">
        <v>10002</v>
      </c>
    </row>
    <row r="58" spans="1:3" x14ac:dyDescent="0.3">
      <c r="A58" s="11" t="s">
        <v>26</v>
      </c>
      <c r="B58" t="s">
        <v>53</v>
      </c>
      <c r="C58">
        <v>3099</v>
      </c>
    </row>
    <row r="62" spans="1:3" x14ac:dyDescent="0.3">
      <c r="A62" s="10" t="s">
        <v>28</v>
      </c>
      <c r="B62" t="s">
        <v>47</v>
      </c>
    </row>
    <row r="63" spans="1:3" x14ac:dyDescent="0.3">
      <c r="A63" s="11" t="s">
        <v>10</v>
      </c>
      <c r="B63">
        <v>52331</v>
      </c>
    </row>
    <row r="64" spans="1:3" x14ac:dyDescent="0.3">
      <c r="A64" s="11" t="s">
        <v>53</v>
      </c>
      <c r="B64">
        <v>16727</v>
      </c>
    </row>
    <row r="65" spans="1:2" x14ac:dyDescent="0.3">
      <c r="A65" s="11" t="s">
        <v>29</v>
      </c>
      <c r="B65">
        <v>69058</v>
      </c>
    </row>
  </sheetData>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5BDD5-08B0-4A32-9443-374B8813A1B1}">
  <dimension ref="A1"/>
  <sheetViews>
    <sheetView zoomScale="102" workbookViewId="0">
      <selection activeCell="W12" sqref="W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F8C15-E99D-47E5-A70F-63DDAF67BED4}">
  <dimension ref="A1:F61"/>
  <sheetViews>
    <sheetView workbookViewId="0">
      <selection activeCell="F61" sqref="F2:F61"/>
    </sheetView>
  </sheetViews>
  <sheetFormatPr defaultRowHeight="14.4" x14ac:dyDescent="0.3"/>
  <sheetData>
    <row r="1" spans="1:6" ht="15" thickBot="1" x14ac:dyDescent="0.35">
      <c r="A1" s="14" t="s">
        <v>32</v>
      </c>
      <c r="B1" s="14" t="s">
        <v>27</v>
      </c>
      <c r="C1" s="14" t="s">
        <v>30</v>
      </c>
      <c r="D1" s="14" t="s">
        <v>50</v>
      </c>
      <c r="E1" s="14" t="s">
        <v>52</v>
      </c>
      <c r="F1" s="16" t="s">
        <v>15</v>
      </c>
    </row>
    <row r="2" spans="1:6" ht="15" thickTop="1" x14ac:dyDescent="0.3">
      <c r="A2" s="40" t="s">
        <v>22</v>
      </c>
      <c r="B2" s="41" t="s">
        <v>0</v>
      </c>
      <c r="C2" s="41">
        <v>1</v>
      </c>
      <c r="D2" s="1">
        <f>452-5</f>
        <v>447</v>
      </c>
      <c r="E2">
        <v>115</v>
      </c>
      <c r="F2">
        <f>D2+E2</f>
        <v>562</v>
      </c>
    </row>
    <row r="3" spans="1:6" x14ac:dyDescent="0.3">
      <c r="A3" s="24" t="s">
        <v>22</v>
      </c>
      <c r="B3" s="24" t="s">
        <v>1</v>
      </c>
      <c r="C3" s="24">
        <v>2</v>
      </c>
      <c r="D3" s="48">
        <f>399-3</f>
        <v>396</v>
      </c>
      <c r="E3">
        <v>136</v>
      </c>
      <c r="F3">
        <f t="shared" ref="F3:F61" si="0">D3+E3</f>
        <v>532</v>
      </c>
    </row>
    <row r="4" spans="1:6" x14ac:dyDescent="0.3">
      <c r="A4" s="21" t="s">
        <v>22</v>
      </c>
      <c r="B4" s="21" t="s">
        <v>2</v>
      </c>
      <c r="C4" s="21">
        <v>3</v>
      </c>
      <c r="D4" s="1">
        <f>670-9</f>
        <v>661</v>
      </c>
      <c r="E4">
        <f>324-7</f>
        <v>317</v>
      </c>
      <c r="F4">
        <f t="shared" si="0"/>
        <v>978</v>
      </c>
    </row>
    <row r="5" spans="1:6" x14ac:dyDescent="0.3">
      <c r="A5" s="24" t="s">
        <v>22</v>
      </c>
      <c r="B5" s="24" t="s">
        <v>3</v>
      </c>
      <c r="C5" s="24">
        <v>4</v>
      </c>
      <c r="D5" s="48">
        <f>700-16</f>
        <v>684</v>
      </c>
      <c r="E5">
        <v>358</v>
      </c>
      <c r="F5">
        <f t="shared" si="0"/>
        <v>1042</v>
      </c>
    </row>
    <row r="6" spans="1:6" x14ac:dyDescent="0.3">
      <c r="A6" s="21" t="s">
        <v>22</v>
      </c>
      <c r="B6" s="21" t="s">
        <v>4</v>
      </c>
      <c r="C6" s="21">
        <v>5</v>
      </c>
      <c r="D6" s="48">
        <f>680
-12</f>
        <v>668</v>
      </c>
      <c r="E6">
        <v>312</v>
      </c>
      <c r="F6">
        <f t="shared" si="0"/>
        <v>980</v>
      </c>
    </row>
    <row r="7" spans="1:6" x14ac:dyDescent="0.3">
      <c r="A7" s="24" t="s">
        <v>22</v>
      </c>
      <c r="B7" s="24" t="s">
        <v>5</v>
      </c>
      <c r="C7" s="24">
        <v>6</v>
      </c>
      <c r="D7" s="4">
        <f>704-13</f>
        <v>691</v>
      </c>
      <c r="E7">
        <v>374</v>
      </c>
      <c r="F7">
        <f t="shared" si="0"/>
        <v>1065</v>
      </c>
    </row>
    <row r="8" spans="1:6" x14ac:dyDescent="0.3">
      <c r="A8" s="21" t="s">
        <v>22</v>
      </c>
      <c r="B8" s="21" t="s">
        <v>6</v>
      </c>
      <c r="C8" s="21">
        <v>7</v>
      </c>
      <c r="D8" s="48">
        <f>641-7</f>
        <v>634</v>
      </c>
      <c r="E8">
        <v>364</v>
      </c>
      <c r="F8">
        <f t="shared" si="0"/>
        <v>998</v>
      </c>
    </row>
    <row r="9" spans="1:6" x14ac:dyDescent="0.3">
      <c r="A9" s="24" t="s">
        <v>22</v>
      </c>
      <c r="B9" s="24" t="s">
        <v>7</v>
      </c>
      <c r="C9" s="24">
        <v>8</v>
      </c>
      <c r="D9" s="1">
        <f>583-7</f>
        <v>576</v>
      </c>
      <c r="E9">
        <v>229</v>
      </c>
      <c r="F9">
        <f t="shared" si="0"/>
        <v>805</v>
      </c>
    </row>
    <row r="10" spans="1:6" x14ac:dyDescent="0.3">
      <c r="A10" s="21" t="s">
        <v>22</v>
      </c>
      <c r="B10" s="21" t="s">
        <v>8</v>
      </c>
      <c r="C10" s="21">
        <v>9</v>
      </c>
      <c r="D10" s="48">
        <f>623-11</f>
        <v>612</v>
      </c>
      <c r="E10">
        <f>313
-8</f>
        <v>305</v>
      </c>
      <c r="F10">
        <f t="shared" si="0"/>
        <v>917</v>
      </c>
    </row>
    <row r="11" spans="1:6" x14ac:dyDescent="0.3">
      <c r="A11" s="24" t="s">
        <v>22</v>
      </c>
      <c r="B11" s="24" t="s">
        <v>19</v>
      </c>
      <c r="C11" s="24">
        <v>10</v>
      </c>
      <c r="D11" s="48">
        <f>528
-13</f>
        <v>515</v>
      </c>
      <c r="E11">
        <f>236
-8</f>
        <v>228</v>
      </c>
      <c r="F11">
        <f t="shared" si="0"/>
        <v>743</v>
      </c>
    </row>
    <row r="12" spans="1:6" x14ac:dyDescent="0.3">
      <c r="A12" s="21" t="s">
        <v>22</v>
      </c>
      <c r="B12" s="21" t="s">
        <v>21</v>
      </c>
      <c r="C12" s="21">
        <v>11</v>
      </c>
      <c r="D12" s="1">
        <v>612</v>
      </c>
      <c r="E12">
        <f>408-6</f>
        <v>402</v>
      </c>
      <c r="F12">
        <f t="shared" si="0"/>
        <v>1014</v>
      </c>
    </row>
    <row r="13" spans="1:6" x14ac:dyDescent="0.3">
      <c r="A13" s="24" t="s">
        <v>22</v>
      </c>
      <c r="B13" s="24" t="s">
        <v>20</v>
      </c>
      <c r="C13" s="24">
        <v>12</v>
      </c>
      <c r="D13" s="48">
        <f>779
-13</f>
        <v>766</v>
      </c>
      <c r="E13">
        <f>546
-8</f>
        <v>538</v>
      </c>
      <c r="F13">
        <f t="shared" si="0"/>
        <v>1304</v>
      </c>
    </row>
    <row r="14" spans="1:6" x14ac:dyDescent="0.3">
      <c r="A14" s="42" t="s">
        <v>23</v>
      </c>
      <c r="B14" s="21" t="s">
        <v>0</v>
      </c>
      <c r="C14" s="21">
        <v>1</v>
      </c>
      <c r="D14" s="1">
        <v>574</v>
      </c>
      <c r="E14">
        <v>376</v>
      </c>
      <c r="F14">
        <f t="shared" si="0"/>
        <v>950</v>
      </c>
    </row>
    <row r="15" spans="1:6" x14ac:dyDescent="0.3">
      <c r="A15" s="24" t="s">
        <v>23</v>
      </c>
      <c r="B15" s="24" t="s">
        <v>1</v>
      </c>
      <c r="C15" s="24">
        <v>2</v>
      </c>
      <c r="D15" s="49">
        <v>650</v>
      </c>
      <c r="E15">
        <v>336</v>
      </c>
      <c r="F15">
        <f t="shared" si="0"/>
        <v>986</v>
      </c>
    </row>
    <row r="16" spans="1:6" x14ac:dyDescent="0.3">
      <c r="A16" s="21" t="s">
        <v>23</v>
      </c>
      <c r="B16" s="21" t="s">
        <v>2</v>
      </c>
      <c r="C16" s="21">
        <v>3</v>
      </c>
      <c r="D16" s="1">
        <f>652-7</f>
        <v>645</v>
      </c>
      <c r="E16">
        <v>389</v>
      </c>
      <c r="F16">
        <f t="shared" si="0"/>
        <v>1034</v>
      </c>
    </row>
    <row r="17" spans="1:6" x14ac:dyDescent="0.3">
      <c r="A17" s="24" t="s">
        <v>23</v>
      </c>
      <c r="B17" s="24" t="s">
        <v>3</v>
      </c>
      <c r="C17" s="24">
        <v>4</v>
      </c>
      <c r="D17" s="48">
        <v>750</v>
      </c>
      <c r="E17">
        <v>297</v>
      </c>
      <c r="F17">
        <f t="shared" si="0"/>
        <v>1047</v>
      </c>
    </row>
    <row r="18" spans="1:6" x14ac:dyDescent="0.3">
      <c r="A18" s="21" t="s">
        <v>23</v>
      </c>
      <c r="B18" s="21" t="s">
        <v>4</v>
      </c>
      <c r="C18" s="21">
        <v>5</v>
      </c>
      <c r="D18" s="48">
        <v>565</v>
      </c>
      <c r="E18">
        <v>356</v>
      </c>
      <c r="F18">
        <f t="shared" si="0"/>
        <v>921</v>
      </c>
    </row>
    <row r="19" spans="1:6" x14ac:dyDescent="0.3">
      <c r="A19" s="24" t="s">
        <v>23</v>
      </c>
      <c r="B19" s="24" t="s">
        <v>5</v>
      </c>
      <c r="C19" s="24">
        <v>6</v>
      </c>
      <c r="D19" s="4">
        <v>745</v>
      </c>
      <c r="E19">
        <v>368</v>
      </c>
      <c r="F19">
        <f t="shared" si="0"/>
        <v>1113</v>
      </c>
    </row>
    <row r="20" spans="1:6" x14ac:dyDescent="0.3">
      <c r="A20" s="21" t="s">
        <v>23</v>
      </c>
      <c r="B20" s="21" t="s">
        <v>6</v>
      </c>
      <c r="C20" s="21">
        <v>7</v>
      </c>
      <c r="D20" s="48">
        <f>523
-7</f>
        <v>516</v>
      </c>
      <c r="E20">
        <v>216</v>
      </c>
      <c r="F20">
        <f t="shared" si="0"/>
        <v>732</v>
      </c>
    </row>
    <row r="21" spans="1:6" x14ac:dyDescent="0.3">
      <c r="A21" s="24" t="s">
        <v>23</v>
      </c>
      <c r="B21" s="24" t="s">
        <v>7</v>
      </c>
      <c r="C21" s="24">
        <v>8</v>
      </c>
      <c r="D21" s="1">
        <f>769-12</f>
        <v>757</v>
      </c>
      <c r="E21">
        <v>347</v>
      </c>
      <c r="F21">
        <f t="shared" si="0"/>
        <v>1104</v>
      </c>
    </row>
    <row r="22" spans="1:6" x14ac:dyDescent="0.3">
      <c r="A22" s="21" t="s">
        <v>23</v>
      </c>
      <c r="B22" s="21" t="s">
        <v>8</v>
      </c>
      <c r="C22" s="21">
        <v>9</v>
      </c>
      <c r="D22" s="48">
        <v>676</v>
      </c>
      <c r="E22">
        <v>377</v>
      </c>
      <c r="F22">
        <f t="shared" si="0"/>
        <v>1053</v>
      </c>
    </row>
    <row r="23" spans="1:6" x14ac:dyDescent="0.3">
      <c r="A23" s="24" t="s">
        <v>23</v>
      </c>
      <c r="B23" s="24" t="s">
        <v>19</v>
      </c>
      <c r="C23" s="24">
        <v>10</v>
      </c>
      <c r="D23" s="48">
        <v>611</v>
      </c>
      <c r="E23">
        <v>245</v>
      </c>
      <c r="F23">
        <f t="shared" si="0"/>
        <v>856</v>
      </c>
    </row>
    <row r="24" spans="1:6" x14ac:dyDescent="0.3">
      <c r="A24" s="21" t="s">
        <v>23</v>
      </c>
      <c r="B24" s="21" t="s">
        <v>21</v>
      </c>
      <c r="C24" s="21">
        <v>11</v>
      </c>
      <c r="D24" s="1">
        <f>766-13</f>
        <v>753</v>
      </c>
      <c r="E24">
        <v>404</v>
      </c>
      <c r="F24">
        <f t="shared" si="0"/>
        <v>1157</v>
      </c>
    </row>
    <row r="25" spans="1:6" x14ac:dyDescent="0.3">
      <c r="A25" s="24" t="s">
        <v>23</v>
      </c>
      <c r="B25" s="24" t="s">
        <v>20</v>
      </c>
      <c r="C25" s="24">
        <v>12</v>
      </c>
      <c r="D25" s="48">
        <f>749
-11</f>
        <v>738</v>
      </c>
      <c r="E25">
        <v>462</v>
      </c>
      <c r="F25">
        <f t="shared" si="0"/>
        <v>1200</v>
      </c>
    </row>
    <row r="26" spans="1:6" x14ac:dyDescent="0.3">
      <c r="A26" s="42" t="s">
        <v>24</v>
      </c>
      <c r="B26" s="21" t="s">
        <v>0</v>
      </c>
      <c r="C26" s="21">
        <v>1</v>
      </c>
      <c r="D26" s="1">
        <f>644-6</f>
        <v>638</v>
      </c>
      <c r="E26">
        <v>369</v>
      </c>
      <c r="F26">
        <f t="shared" si="0"/>
        <v>1007</v>
      </c>
    </row>
    <row r="27" spans="1:6" x14ac:dyDescent="0.3">
      <c r="A27" s="24" t="s">
        <v>24</v>
      </c>
      <c r="B27" s="24" t="s">
        <v>1</v>
      </c>
      <c r="C27" s="24">
        <v>2</v>
      </c>
      <c r="D27" s="48">
        <f>597
-13</f>
        <v>584</v>
      </c>
      <c r="E27">
        <v>385</v>
      </c>
      <c r="F27">
        <f t="shared" si="0"/>
        <v>969</v>
      </c>
    </row>
    <row r="28" spans="1:6" x14ac:dyDescent="0.3">
      <c r="A28" s="21" t="s">
        <v>24</v>
      </c>
      <c r="B28" s="21" t="s">
        <v>2</v>
      </c>
      <c r="C28" s="21">
        <v>3</v>
      </c>
      <c r="D28" s="1">
        <f>581-8</f>
        <v>573</v>
      </c>
      <c r="E28">
        <v>349</v>
      </c>
      <c r="F28">
        <f t="shared" si="0"/>
        <v>922</v>
      </c>
    </row>
    <row r="29" spans="1:6" x14ac:dyDescent="0.3">
      <c r="A29" s="24" t="s">
        <v>24</v>
      </c>
      <c r="B29" s="24" t="s">
        <v>3</v>
      </c>
      <c r="C29" s="24">
        <v>4</v>
      </c>
      <c r="D29" s="48">
        <v>703</v>
      </c>
      <c r="E29">
        <v>331</v>
      </c>
      <c r="F29">
        <f t="shared" si="0"/>
        <v>1034</v>
      </c>
    </row>
    <row r="30" spans="1:6" x14ac:dyDescent="0.3">
      <c r="A30" s="21" t="s">
        <v>24</v>
      </c>
      <c r="B30" s="21" t="s">
        <v>4</v>
      </c>
      <c r="C30" s="21">
        <v>5</v>
      </c>
      <c r="D30" s="48">
        <v>720</v>
      </c>
      <c r="E30">
        <v>294</v>
      </c>
      <c r="F30">
        <f t="shared" si="0"/>
        <v>1014</v>
      </c>
    </row>
    <row r="31" spans="1:6" x14ac:dyDescent="0.3">
      <c r="A31" s="24" t="s">
        <v>24</v>
      </c>
      <c r="B31" s="24" t="s">
        <v>5</v>
      </c>
      <c r="C31" s="24">
        <v>6</v>
      </c>
      <c r="D31" s="4">
        <f>663-8</f>
        <v>655</v>
      </c>
      <c r="E31">
        <v>332</v>
      </c>
      <c r="F31">
        <f t="shared" si="0"/>
        <v>987</v>
      </c>
    </row>
    <row r="32" spans="1:6" x14ac:dyDescent="0.3">
      <c r="A32" s="21" t="s">
        <v>24</v>
      </c>
      <c r="B32" s="21" t="s">
        <v>6</v>
      </c>
      <c r="C32" s="21">
        <v>7</v>
      </c>
      <c r="D32" s="48">
        <v>691</v>
      </c>
      <c r="E32">
        <v>308</v>
      </c>
      <c r="F32">
        <f t="shared" si="0"/>
        <v>999</v>
      </c>
    </row>
    <row r="33" spans="1:6" x14ac:dyDescent="0.3">
      <c r="A33" s="24" t="s">
        <v>24</v>
      </c>
      <c r="B33" s="24" t="s">
        <v>7</v>
      </c>
      <c r="C33" s="24">
        <v>8</v>
      </c>
      <c r="D33" s="1">
        <f>532-9</f>
        <v>523</v>
      </c>
      <c r="E33">
        <v>226</v>
      </c>
      <c r="F33">
        <f t="shared" si="0"/>
        <v>749</v>
      </c>
    </row>
    <row r="34" spans="1:6" x14ac:dyDescent="0.3">
      <c r="A34" s="21" t="s">
        <v>24</v>
      </c>
      <c r="B34" s="21" t="s">
        <v>8</v>
      </c>
      <c r="C34" s="21">
        <v>9</v>
      </c>
      <c r="D34" s="48">
        <f>695-9</f>
        <v>686</v>
      </c>
      <c r="E34">
        <v>377</v>
      </c>
      <c r="F34">
        <f t="shared" si="0"/>
        <v>1063</v>
      </c>
    </row>
    <row r="35" spans="1:6" x14ac:dyDescent="0.3">
      <c r="A35" s="24" t="s">
        <v>24</v>
      </c>
      <c r="B35" s="24" t="s">
        <v>19</v>
      </c>
      <c r="C35" s="24">
        <v>10</v>
      </c>
      <c r="D35" s="48">
        <v>682</v>
      </c>
      <c r="E35">
        <v>346</v>
      </c>
      <c r="F35">
        <f t="shared" si="0"/>
        <v>1028</v>
      </c>
    </row>
    <row r="36" spans="1:6" x14ac:dyDescent="0.3">
      <c r="A36" s="21" t="s">
        <v>24</v>
      </c>
      <c r="B36" s="21" t="s">
        <v>21</v>
      </c>
      <c r="C36" s="21">
        <v>11</v>
      </c>
      <c r="D36" s="1">
        <f>811-9</f>
        <v>802</v>
      </c>
      <c r="E36">
        <v>430</v>
      </c>
      <c r="F36">
        <f t="shared" si="0"/>
        <v>1232</v>
      </c>
    </row>
    <row r="37" spans="1:6" x14ac:dyDescent="0.3">
      <c r="A37" s="24" t="s">
        <v>24</v>
      </c>
      <c r="B37" s="24" t="s">
        <v>20</v>
      </c>
      <c r="C37" s="24">
        <v>12</v>
      </c>
      <c r="D37" s="48">
        <f>849
-17</f>
        <v>832</v>
      </c>
      <c r="E37">
        <v>594</v>
      </c>
      <c r="F37">
        <f t="shared" si="0"/>
        <v>1426</v>
      </c>
    </row>
    <row r="38" spans="1:6" x14ac:dyDescent="0.3">
      <c r="A38" s="42" t="s">
        <v>25</v>
      </c>
      <c r="B38" s="21" t="s">
        <v>0</v>
      </c>
      <c r="C38" s="21">
        <v>1</v>
      </c>
      <c r="D38" s="1">
        <f>768-11</f>
        <v>757</v>
      </c>
      <c r="E38">
        <v>373</v>
      </c>
      <c r="F38">
        <f t="shared" si="0"/>
        <v>1130</v>
      </c>
    </row>
    <row r="39" spans="1:6" x14ac:dyDescent="0.3">
      <c r="A39" s="24" t="s">
        <v>25</v>
      </c>
      <c r="B39" s="24" t="s">
        <v>1</v>
      </c>
      <c r="C39" s="24">
        <v>2</v>
      </c>
      <c r="D39" s="48">
        <v>619</v>
      </c>
      <c r="E39">
        <v>371</v>
      </c>
      <c r="F39">
        <f t="shared" si="0"/>
        <v>990</v>
      </c>
    </row>
    <row r="40" spans="1:6" x14ac:dyDescent="0.3">
      <c r="A40" s="21" t="s">
        <v>25</v>
      </c>
      <c r="B40" s="21" t="s">
        <v>2</v>
      </c>
      <c r="C40" s="21">
        <v>3</v>
      </c>
      <c r="D40" s="1">
        <f>602-10</f>
        <v>592</v>
      </c>
      <c r="E40">
        <v>356</v>
      </c>
      <c r="F40">
        <f t="shared" si="0"/>
        <v>948</v>
      </c>
    </row>
    <row r="41" spans="1:6" x14ac:dyDescent="0.3">
      <c r="A41" s="24" t="s">
        <v>25</v>
      </c>
      <c r="B41" s="24" t="s">
        <v>3</v>
      </c>
      <c r="C41" s="24">
        <v>4</v>
      </c>
      <c r="D41" s="48">
        <v>688</v>
      </c>
      <c r="E41">
        <v>416</v>
      </c>
      <c r="F41">
        <f t="shared" si="0"/>
        <v>1104</v>
      </c>
    </row>
    <row r="42" spans="1:6" x14ac:dyDescent="0.3">
      <c r="A42" s="21" t="s">
        <v>25</v>
      </c>
      <c r="B42" s="21" t="s">
        <v>4</v>
      </c>
      <c r="C42" s="21">
        <v>5</v>
      </c>
      <c r="D42" s="48">
        <v>629</v>
      </c>
      <c r="E42">
        <v>244</v>
      </c>
      <c r="F42">
        <f t="shared" si="0"/>
        <v>873</v>
      </c>
    </row>
    <row r="43" spans="1:6" x14ac:dyDescent="0.3">
      <c r="A43" s="24" t="s">
        <v>25</v>
      </c>
      <c r="B43" s="24" t="s">
        <v>5</v>
      </c>
      <c r="C43" s="24">
        <v>6</v>
      </c>
      <c r="D43" s="4">
        <f>731-11</f>
        <v>720</v>
      </c>
      <c r="E43">
        <v>333</v>
      </c>
      <c r="F43">
        <f t="shared" si="0"/>
        <v>1053</v>
      </c>
    </row>
    <row r="44" spans="1:6" x14ac:dyDescent="0.3">
      <c r="A44" s="21" t="s">
        <v>25</v>
      </c>
      <c r="B44" s="21" t="s">
        <v>6</v>
      </c>
      <c r="C44" s="21">
        <v>7</v>
      </c>
      <c r="D44" s="48">
        <v>566</v>
      </c>
      <c r="E44">
        <v>276</v>
      </c>
      <c r="F44">
        <f t="shared" si="0"/>
        <v>842</v>
      </c>
    </row>
    <row r="45" spans="1:6" x14ac:dyDescent="0.3">
      <c r="A45" s="24" t="s">
        <v>25</v>
      </c>
      <c r="B45" s="24" t="s">
        <v>7</v>
      </c>
      <c r="C45" s="24">
        <v>8</v>
      </c>
      <c r="D45" s="4">
        <f>578-9</f>
        <v>569</v>
      </c>
      <c r="E45">
        <v>287</v>
      </c>
      <c r="F45">
        <f t="shared" si="0"/>
        <v>856</v>
      </c>
    </row>
    <row r="46" spans="1:6" x14ac:dyDescent="0.3">
      <c r="A46" s="21" t="s">
        <v>25</v>
      </c>
      <c r="B46" s="21" t="s">
        <v>8</v>
      </c>
      <c r="C46" s="21">
        <v>9</v>
      </c>
      <c r="D46" s="48">
        <v>584</v>
      </c>
      <c r="E46">
        <v>272</v>
      </c>
      <c r="F46">
        <f t="shared" si="0"/>
        <v>856</v>
      </c>
    </row>
    <row r="47" spans="1:6" x14ac:dyDescent="0.3">
      <c r="A47" s="24" t="s">
        <v>25</v>
      </c>
      <c r="B47" s="24" t="s">
        <v>19</v>
      </c>
      <c r="C47" s="24">
        <v>10</v>
      </c>
      <c r="D47" s="48">
        <f>569
-13</f>
        <v>556</v>
      </c>
      <c r="E47">
        <v>275</v>
      </c>
      <c r="F47">
        <f t="shared" si="0"/>
        <v>831</v>
      </c>
    </row>
    <row r="48" spans="1:6" x14ac:dyDescent="0.3">
      <c r="A48" s="21" t="s">
        <v>25</v>
      </c>
      <c r="B48" s="21" t="s">
        <v>21</v>
      </c>
      <c r="C48" s="21">
        <v>11</v>
      </c>
      <c r="D48" s="1">
        <v>625</v>
      </c>
      <c r="E48">
        <v>350</v>
      </c>
      <c r="F48">
        <f t="shared" si="0"/>
        <v>975</v>
      </c>
    </row>
    <row r="49" spans="1:6" x14ac:dyDescent="0.3">
      <c r="A49" s="24" t="s">
        <v>25</v>
      </c>
      <c r="B49" s="24" t="s">
        <v>20</v>
      </c>
      <c r="C49" s="24">
        <v>12</v>
      </c>
      <c r="D49" s="48">
        <v>681</v>
      </c>
      <c r="E49">
        <f>502
-7</f>
        <v>495</v>
      </c>
      <c r="F49">
        <f t="shared" si="0"/>
        <v>1176</v>
      </c>
    </row>
    <row r="50" spans="1:6" x14ac:dyDescent="0.3">
      <c r="A50" s="42" t="s">
        <v>26</v>
      </c>
      <c r="B50" s="21" t="s">
        <v>0</v>
      </c>
      <c r="C50" s="21">
        <v>1</v>
      </c>
      <c r="D50" s="1">
        <f>565-6</f>
        <v>559</v>
      </c>
      <c r="E50">
        <v>361</v>
      </c>
      <c r="F50">
        <f t="shared" si="0"/>
        <v>920</v>
      </c>
    </row>
    <row r="51" spans="1:6" x14ac:dyDescent="0.3">
      <c r="A51" s="24" t="s">
        <v>26</v>
      </c>
      <c r="B51" s="24" t="s">
        <v>1</v>
      </c>
      <c r="C51" s="24">
        <v>2</v>
      </c>
      <c r="D51" s="48">
        <v>583</v>
      </c>
      <c r="E51">
        <v>339</v>
      </c>
      <c r="F51">
        <f t="shared" si="0"/>
        <v>922</v>
      </c>
    </row>
    <row r="52" spans="1:6" x14ac:dyDescent="0.3">
      <c r="A52" s="21" t="s">
        <v>26</v>
      </c>
      <c r="B52" s="21" t="s">
        <v>2</v>
      </c>
      <c r="C52" s="21">
        <v>3</v>
      </c>
      <c r="D52" s="1">
        <v>514</v>
      </c>
      <c r="E52">
        <v>296</v>
      </c>
      <c r="F52">
        <f t="shared" si="0"/>
        <v>810</v>
      </c>
    </row>
    <row r="53" spans="1:6" x14ac:dyDescent="0.3">
      <c r="A53" s="24" t="s">
        <v>26</v>
      </c>
      <c r="B53" s="24" t="s">
        <v>3</v>
      </c>
      <c r="C53" s="24">
        <v>4</v>
      </c>
      <c r="D53" s="48">
        <v>712</v>
      </c>
      <c r="E53">
        <v>318</v>
      </c>
      <c r="F53">
        <f t="shared" si="0"/>
        <v>1030</v>
      </c>
    </row>
    <row r="54" spans="1:6" x14ac:dyDescent="0.3">
      <c r="A54" s="21" t="s">
        <v>26</v>
      </c>
      <c r="B54" s="21" t="s">
        <v>4</v>
      </c>
      <c r="C54" s="21">
        <v>5</v>
      </c>
      <c r="D54" s="48">
        <v>519</v>
      </c>
      <c r="E54">
        <v>220</v>
      </c>
      <c r="F54">
        <f t="shared" si="0"/>
        <v>739</v>
      </c>
    </row>
    <row r="55" spans="1:6" x14ac:dyDescent="0.3">
      <c r="A55" s="24" t="s">
        <v>26</v>
      </c>
      <c r="B55" s="24" t="s">
        <v>5</v>
      </c>
      <c r="C55" s="24">
        <v>6</v>
      </c>
      <c r="D55" s="4">
        <v>631</v>
      </c>
      <c r="E55">
        <v>266</v>
      </c>
      <c r="F55">
        <f t="shared" si="0"/>
        <v>897</v>
      </c>
    </row>
    <row r="56" spans="1:6" x14ac:dyDescent="0.3">
      <c r="A56" s="21" t="s">
        <v>26</v>
      </c>
      <c r="B56" s="21" t="s">
        <v>6</v>
      </c>
      <c r="C56" s="21">
        <v>7</v>
      </c>
      <c r="D56" s="48">
        <v>446</v>
      </c>
      <c r="E56">
        <v>173</v>
      </c>
      <c r="F56">
        <f t="shared" si="0"/>
        <v>619</v>
      </c>
    </row>
    <row r="57" spans="1:6" x14ac:dyDescent="0.3">
      <c r="A57" s="24" t="s">
        <v>26</v>
      </c>
      <c r="B57" s="24" t="s">
        <v>7</v>
      </c>
      <c r="C57" s="24">
        <v>8</v>
      </c>
      <c r="D57" s="4">
        <v>543</v>
      </c>
      <c r="E57">
        <v>212</v>
      </c>
      <c r="F57">
        <f t="shared" si="0"/>
        <v>755</v>
      </c>
    </row>
    <row r="58" spans="1:6" x14ac:dyDescent="0.3">
      <c r="A58" s="21" t="s">
        <v>26</v>
      </c>
      <c r="B58" s="21" t="s">
        <v>8</v>
      </c>
      <c r="C58" s="21">
        <v>9</v>
      </c>
      <c r="D58" s="48">
        <v>672</v>
      </c>
      <c r="E58">
        <v>293</v>
      </c>
      <c r="F58">
        <f t="shared" si="0"/>
        <v>965</v>
      </c>
    </row>
    <row r="59" spans="1:6" x14ac:dyDescent="0.3">
      <c r="A59" s="24" t="s">
        <v>26</v>
      </c>
      <c r="B59" s="24" t="s">
        <v>19</v>
      </c>
      <c r="C59" s="24">
        <v>10</v>
      </c>
      <c r="D59" s="48">
        <v>563</v>
      </c>
      <c r="E59">
        <v>231</v>
      </c>
      <c r="F59">
        <f t="shared" si="0"/>
        <v>794</v>
      </c>
    </row>
    <row r="60" spans="1:6" x14ac:dyDescent="0.3">
      <c r="A60" s="21" t="s">
        <v>26</v>
      </c>
      <c r="B60" s="21" t="s">
        <v>21</v>
      </c>
      <c r="C60" s="21">
        <v>11</v>
      </c>
      <c r="D60" s="1">
        <f>617-12</f>
        <v>605</v>
      </c>
      <c r="E60">
        <v>393</v>
      </c>
      <c r="F60">
        <f t="shared" si="0"/>
        <v>998</v>
      </c>
    </row>
    <row r="61" spans="1:6" x14ac:dyDescent="0.3">
      <c r="A61" s="28" t="s">
        <v>26</v>
      </c>
      <c r="B61" s="28" t="s">
        <v>20</v>
      </c>
      <c r="C61" s="28">
        <v>12</v>
      </c>
      <c r="D61" s="48">
        <v>587</v>
      </c>
      <c r="E61">
        <v>382</v>
      </c>
      <c r="F61">
        <f t="shared" si="0"/>
        <v>969</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CF09A-BD40-485D-9AB2-E0E8255367C6}">
  <dimension ref="A2:I47"/>
  <sheetViews>
    <sheetView topLeftCell="A26" workbookViewId="0">
      <selection activeCell="B45" sqref="B45"/>
    </sheetView>
  </sheetViews>
  <sheetFormatPr defaultRowHeight="14.4" x14ac:dyDescent="0.3"/>
  <cols>
    <col min="1" max="1" width="12.5546875" bestFit="1" customWidth="1"/>
    <col min="2" max="2" width="6" bestFit="1" customWidth="1"/>
    <col min="3" max="3" width="18.88671875" bestFit="1" customWidth="1"/>
    <col min="7" max="7" width="13.77734375" bestFit="1" customWidth="1"/>
    <col min="8" max="8" width="6" bestFit="1" customWidth="1"/>
    <col min="9" max="9" width="18.88671875" bestFit="1" customWidth="1"/>
  </cols>
  <sheetData>
    <row r="2" spans="1:9" x14ac:dyDescent="0.3">
      <c r="A2" s="10" t="s">
        <v>28</v>
      </c>
      <c r="B2" t="s">
        <v>55</v>
      </c>
      <c r="C2" t="s">
        <v>56</v>
      </c>
    </row>
    <row r="3" spans="1:9" x14ac:dyDescent="0.3">
      <c r="A3" s="11" t="s">
        <v>22</v>
      </c>
      <c r="B3">
        <v>7262</v>
      </c>
      <c r="C3">
        <v>3678</v>
      </c>
      <c r="G3" s="10" t="s">
        <v>28</v>
      </c>
      <c r="H3" t="s">
        <v>55</v>
      </c>
      <c r="I3" t="s">
        <v>56</v>
      </c>
    </row>
    <row r="4" spans="1:9" x14ac:dyDescent="0.3">
      <c r="A4" s="11" t="s">
        <v>23</v>
      </c>
      <c r="B4">
        <v>7980</v>
      </c>
      <c r="C4">
        <v>4173</v>
      </c>
      <c r="G4" s="11">
        <v>1</v>
      </c>
      <c r="H4">
        <v>2975</v>
      </c>
      <c r="I4">
        <v>1594</v>
      </c>
    </row>
    <row r="5" spans="1:9" x14ac:dyDescent="0.3">
      <c r="A5" s="11" t="s">
        <v>24</v>
      </c>
      <c r="B5">
        <v>8089</v>
      </c>
      <c r="C5">
        <v>4341</v>
      </c>
      <c r="G5" s="12" t="s">
        <v>0</v>
      </c>
      <c r="H5">
        <v>2975</v>
      </c>
      <c r="I5">
        <v>1594</v>
      </c>
    </row>
    <row r="6" spans="1:9" x14ac:dyDescent="0.3">
      <c r="A6" s="11" t="s">
        <v>25</v>
      </c>
      <c r="B6">
        <v>7586</v>
      </c>
      <c r="C6">
        <v>4048</v>
      </c>
      <c r="G6" s="11">
        <v>2</v>
      </c>
      <c r="H6">
        <v>2832</v>
      </c>
      <c r="I6">
        <v>1567</v>
      </c>
    </row>
    <row r="7" spans="1:9" x14ac:dyDescent="0.3">
      <c r="A7" s="11" t="s">
        <v>26</v>
      </c>
      <c r="B7">
        <v>6934</v>
      </c>
      <c r="C7">
        <v>3484</v>
      </c>
      <c r="G7" s="12" t="s">
        <v>1</v>
      </c>
      <c r="H7">
        <v>2832</v>
      </c>
      <c r="I7">
        <v>1567</v>
      </c>
    </row>
    <row r="8" spans="1:9" x14ac:dyDescent="0.3">
      <c r="A8" s="11" t="s">
        <v>29</v>
      </c>
      <c r="B8">
        <v>37851</v>
      </c>
      <c r="C8">
        <v>19724</v>
      </c>
      <c r="G8" s="11">
        <v>3</v>
      </c>
      <c r="H8">
        <v>2985</v>
      </c>
      <c r="I8">
        <v>1707</v>
      </c>
    </row>
    <row r="9" spans="1:9" x14ac:dyDescent="0.3">
      <c r="G9" s="12" t="s">
        <v>2</v>
      </c>
      <c r="H9">
        <v>2985</v>
      </c>
      <c r="I9">
        <v>1707</v>
      </c>
    </row>
    <row r="10" spans="1:9" x14ac:dyDescent="0.3">
      <c r="G10" s="11">
        <v>4</v>
      </c>
      <c r="H10">
        <v>3537</v>
      </c>
      <c r="I10">
        <v>1720</v>
      </c>
    </row>
    <row r="11" spans="1:9" x14ac:dyDescent="0.3">
      <c r="G11" s="12" t="s">
        <v>3</v>
      </c>
      <c r="H11">
        <v>3537</v>
      </c>
      <c r="I11">
        <v>1720</v>
      </c>
    </row>
    <row r="12" spans="1:9" x14ac:dyDescent="0.3">
      <c r="G12" s="11">
        <v>5</v>
      </c>
      <c r="H12">
        <v>3101</v>
      </c>
      <c r="I12">
        <v>1426</v>
      </c>
    </row>
    <row r="13" spans="1:9" x14ac:dyDescent="0.3">
      <c r="G13" s="12" t="s">
        <v>4</v>
      </c>
      <c r="H13">
        <v>3101</v>
      </c>
      <c r="I13">
        <v>1426</v>
      </c>
    </row>
    <row r="14" spans="1:9" x14ac:dyDescent="0.3">
      <c r="G14" s="11">
        <v>6</v>
      </c>
      <c r="H14">
        <v>3442</v>
      </c>
      <c r="I14">
        <v>1673</v>
      </c>
    </row>
    <row r="15" spans="1:9" x14ac:dyDescent="0.3">
      <c r="G15" s="12" t="s">
        <v>5</v>
      </c>
      <c r="H15">
        <v>3442</v>
      </c>
      <c r="I15">
        <v>1673</v>
      </c>
    </row>
    <row r="16" spans="1:9" x14ac:dyDescent="0.3">
      <c r="G16" s="11">
        <v>7</v>
      </c>
      <c r="H16">
        <v>2853</v>
      </c>
      <c r="I16">
        <v>1337</v>
      </c>
    </row>
    <row r="17" spans="1:9" x14ac:dyDescent="0.3">
      <c r="G17" s="12" t="s">
        <v>6</v>
      </c>
      <c r="H17">
        <v>2853</v>
      </c>
      <c r="I17">
        <v>1337</v>
      </c>
    </row>
    <row r="18" spans="1:9" x14ac:dyDescent="0.3">
      <c r="G18" s="11">
        <v>8</v>
      </c>
      <c r="H18">
        <v>2968</v>
      </c>
      <c r="I18">
        <v>1301</v>
      </c>
    </row>
    <row r="19" spans="1:9" x14ac:dyDescent="0.3">
      <c r="G19" s="12" t="s">
        <v>7</v>
      </c>
      <c r="H19">
        <v>2968</v>
      </c>
      <c r="I19">
        <v>1301</v>
      </c>
    </row>
    <row r="20" spans="1:9" x14ac:dyDescent="0.3">
      <c r="G20" s="11">
        <v>9</v>
      </c>
      <c r="H20">
        <v>3230</v>
      </c>
      <c r="I20">
        <v>1624</v>
      </c>
    </row>
    <row r="21" spans="1:9" x14ac:dyDescent="0.3">
      <c r="G21" s="12" t="s">
        <v>8</v>
      </c>
      <c r="H21">
        <v>3230</v>
      </c>
      <c r="I21">
        <v>1624</v>
      </c>
    </row>
    <row r="22" spans="1:9" x14ac:dyDescent="0.3">
      <c r="G22" s="11">
        <v>10</v>
      </c>
      <c r="H22">
        <v>2927</v>
      </c>
      <c r="I22">
        <v>1325</v>
      </c>
    </row>
    <row r="23" spans="1:9" x14ac:dyDescent="0.3">
      <c r="G23" s="12" t="s">
        <v>19</v>
      </c>
      <c r="H23">
        <v>2927</v>
      </c>
      <c r="I23">
        <v>1325</v>
      </c>
    </row>
    <row r="24" spans="1:9" x14ac:dyDescent="0.3">
      <c r="G24" s="11">
        <v>11</v>
      </c>
      <c r="H24">
        <v>3397</v>
      </c>
      <c r="I24">
        <v>1979</v>
      </c>
    </row>
    <row r="25" spans="1:9" x14ac:dyDescent="0.3">
      <c r="G25" s="12" t="s">
        <v>21</v>
      </c>
      <c r="H25">
        <v>3397</v>
      </c>
      <c r="I25">
        <v>1979</v>
      </c>
    </row>
    <row r="26" spans="1:9" x14ac:dyDescent="0.3">
      <c r="G26" s="11">
        <v>12</v>
      </c>
      <c r="H26">
        <v>3604</v>
      </c>
      <c r="I26">
        <v>2471</v>
      </c>
    </row>
    <row r="27" spans="1:9" x14ac:dyDescent="0.3">
      <c r="G27" s="12" t="s">
        <v>20</v>
      </c>
      <c r="H27">
        <v>3604</v>
      </c>
      <c r="I27">
        <v>2471</v>
      </c>
    </row>
    <row r="28" spans="1:9" x14ac:dyDescent="0.3">
      <c r="G28" s="11" t="s">
        <v>29</v>
      </c>
      <c r="H28">
        <v>37851</v>
      </c>
      <c r="I28">
        <v>19724</v>
      </c>
    </row>
    <row r="31" spans="1:9" x14ac:dyDescent="0.3">
      <c r="A31" t="s">
        <v>44</v>
      </c>
      <c r="B31" t="s">
        <v>45</v>
      </c>
      <c r="C31" t="s">
        <v>46</v>
      </c>
    </row>
    <row r="32" spans="1:9" x14ac:dyDescent="0.3">
      <c r="A32" s="11" t="s">
        <v>22</v>
      </c>
      <c r="B32" t="s">
        <v>55</v>
      </c>
      <c r="C32">
        <v>7138</v>
      </c>
    </row>
    <row r="33" spans="1:3" x14ac:dyDescent="0.3">
      <c r="A33" s="11" t="s">
        <v>22</v>
      </c>
      <c r="B33" t="s">
        <v>56</v>
      </c>
      <c r="C33">
        <v>3678</v>
      </c>
    </row>
    <row r="34" spans="1:3" x14ac:dyDescent="0.3">
      <c r="A34" s="11" t="s">
        <v>23</v>
      </c>
      <c r="B34" t="s">
        <v>55</v>
      </c>
      <c r="C34">
        <v>7785</v>
      </c>
    </row>
    <row r="35" spans="1:3" x14ac:dyDescent="0.3">
      <c r="A35" s="11" t="s">
        <v>23</v>
      </c>
      <c r="B35" t="s">
        <v>56</v>
      </c>
      <c r="C35">
        <v>4173</v>
      </c>
    </row>
    <row r="36" spans="1:3" x14ac:dyDescent="0.3">
      <c r="A36" s="11" t="s">
        <v>24</v>
      </c>
      <c r="B36" t="s">
        <v>55</v>
      </c>
      <c r="C36">
        <v>7887</v>
      </c>
    </row>
    <row r="37" spans="1:3" x14ac:dyDescent="0.3">
      <c r="A37" s="11" t="s">
        <v>24</v>
      </c>
      <c r="B37" t="s">
        <v>56</v>
      </c>
      <c r="C37">
        <v>4341</v>
      </c>
    </row>
    <row r="38" spans="1:3" x14ac:dyDescent="0.3">
      <c r="A38" s="11" t="s">
        <v>25</v>
      </c>
      <c r="B38" t="s">
        <v>55</v>
      </c>
      <c r="C38">
        <v>7453</v>
      </c>
    </row>
    <row r="39" spans="1:3" x14ac:dyDescent="0.3">
      <c r="A39" s="11" t="s">
        <v>25</v>
      </c>
      <c r="B39" t="s">
        <v>56</v>
      </c>
      <c r="C39">
        <v>4048</v>
      </c>
    </row>
    <row r="40" spans="1:3" x14ac:dyDescent="0.3">
      <c r="A40" s="11" t="s">
        <v>26</v>
      </c>
      <c r="B40" t="s">
        <v>55</v>
      </c>
      <c r="C40">
        <v>6791</v>
      </c>
    </row>
    <row r="41" spans="1:3" x14ac:dyDescent="0.3">
      <c r="A41" s="11" t="s">
        <v>26</v>
      </c>
      <c r="B41" t="s">
        <v>56</v>
      </c>
      <c r="C41">
        <v>3484</v>
      </c>
    </row>
    <row r="44" spans="1:3" x14ac:dyDescent="0.3">
      <c r="A44" s="10" t="s">
        <v>28</v>
      </c>
      <c r="B44" t="s">
        <v>47</v>
      </c>
    </row>
    <row r="45" spans="1:3" x14ac:dyDescent="0.3">
      <c r="A45" s="11" t="s">
        <v>55</v>
      </c>
      <c r="B45">
        <v>37054</v>
      </c>
    </row>
    <row r="46" spans="1:3" x14ac:dyDescent="0.3">
      <c r="A46" s="11" t="s">
        <v>56</v>
      </c>
      <c r="B46">
        <v>19724</v>
      </c>
    </row>
    <row r="47" spans="1:3" x14ac:dyDescent="0.3">
      <c r="A47" s="11" t="s">
        <v>29</v>
      </c>
      <c r="B47">
        <v>56778</v>
      </c>
    </row>
  </sheetData>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69D9-B0F9-4714-B9D6-A54D0104F745}">
  <dimension ref="A1"/>
  <sheetViews>
    <sheetView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fetch</vt:lpstr>
      <vt:lpstr>master</vt:lpstr>
      <vt:lpstr>pivot</vt:lpstr>
      <vt:lpstr>Main_dashboard</vt:lpstr>
      <vt:lpstr>Sonography_pivot</vt:lpstr>
      <vt:lpstr>sonography</vt:lpstr>
      <vt:lpstr>sonography_dashboard</vt:lpstr>
      <vt:lpstr>Xray</vt:lpstr>
      <vt:lpstr>Xray_pivot</vt:lpstr>
      <vt:lpstr>Xray_dashboard</vt:lpstr>
      <vt:lpstr>Dental</vt:lpstr>
      <vt:lpstr>Dental_pivot</vt:lpstr>
      <vt:lpstr>Dental_dashboard</vt:lpstr>
      <vt:lpstr>bodycheckup</vt:lpstr>
      <vt:lpstr>bodycheckup_pivot</vt:lpstr>
      <vt:lpstr>bodycheckup_dashboard</vt:lpstr>
      <vt:lpstr>mamography</vt:lpstr>
      <vt:lpstr>mamography_pivot</vt:lpstr>
      <vt:lpstr>mamography_dashboard</vt:lpstr>
      <vt:lpstr>bodycheckup_sonography</vt:lpstr>
      <vt:lpstr>body_sono_pivot</vt:lpstr>
      <vt:lpstr>Bodycheckup_Sonography_dashboar</vt:lpstr>
      <vt:lpstr>bodycheckup_xray</vt:lpstr>
      <vt:lpstr>bodycheckup_xray_pivot</vt:lpstr>
      <vt:lpstr>Bodycheckup_Xray_dashboard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Mann Damani</cp:lastModifiedBy>
  <dcterms:created xsi:type="dcterms:W3CDTF">2026-05-30T10:37:47Z</dcterms:created>
  <dcterms:modified xsi:type="dcterms:W3CDTF">2026-07-01T06:40:19Z</dcterms:modified>
</cp:coreProperties>
</file>